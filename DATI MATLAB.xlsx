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e0be8503cb6522/Desktop/progetto/"/>
    </mc:Choice>
  </mc:AlternateContent>
  <xr:revisionPtr revIDLastSave="722" documentId="8_{4CEE43AB-C15D-4919-A8C3-286B9661E295}" xr6:coauthVersionLast="47" xr6:coauthVersionMax="47" xr10:uidLastSave="{ADFE5C18-6B7B-4812-BCA3-8BDA6EB820C8}"/>
  <bookViews>
    <workbookView xWindow="-108" yWindow="-108" windowWidth="23256" windowHeight="12456" xr2:uid="{DCF8860C-9086-489C-88AD-FAECE60EEEBB}"/>
  </bookViews>
  <sheets>
    <sheet name="Foglio2" sheetId="2" r:id="rId1"/>
  </sheets>
  <definedNames>
    <definedName name="_xlnm._FilterDatabase" localSheetId="0" hidden="1">Foglio2!$B$2:$P$442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1" i="2" l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379" i="2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57" i="2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35" i="2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13" i="2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291" i="2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269" i="2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47" i="2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25" i="2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03" i="2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181" i="2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159" i="2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37" i="2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15" i="2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93" i="2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71" i="2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49" i="2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27" i="2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</calcChain>
</file>

<file path=xl/sharedStrings.xml><?xml version="1.0" encoding="utf-8"?>
<sst xmlns="http://schemas.openxmlformats.org/spreadsheetml/2006/main" count="433" uniqueCount="34">
  <si>
    <t>CAN</t>
  </si>
  <si>
    <t>CRI</t>
  </si>
  <si>
    <t>DOM</t>
  </si>
  <si>
    <t>EST</t>
  </si>
  <si>
    <t>FRA</t>
  </si>
  <si>
    <t>GEO</t>
  </si>
  <si>
    <t>IDN</t>
  </si>
  <si>
    <t>KGZ</t>
  </si>
  <si>
    <t>LTU</t>
  </si>
  <si>
    <t>LUX</t>
  </si>
  <si>
    <t>MDA</t>
  </si>
  <si>
    <t>PER</t>
  </si>
  <si>
    <t>POL</t>
  </si>
  <si>
    <t>ROU</t>
  </si>
  <si>
    <t>RUS</t>
  </si>
  <si>
    <t>SWE</t>
  </si>
  <si>
    <t>USA</t>
  </si>
  <si>
    <t>GBR</t>
  </si>
  <si>
    <t>URY</t>
  </si>
  <si>
    <t>co2_pc</t>
  </si>
  <si>
    <t>gdp_pc</t>
  </si>
  <si>
    <t>alt_nuc_en_pct</t>
  </si>
  <si>
    <t>elec_coal_pct</t>
  </si>
  <si>
    <t>elec_hydro_pct</t>
  </si>
  <si>
    <t>elec_oil_pct</t>
  </si>
  <si>
    <t>ren_en_pct</t>
  </si>
  <si>
    <t>trade_gdp_pct</t>
  </si>
  <si>
    <t>top10_inc_pct</t>
  </si>
  <si>
    <t>Year</t>
  </si>
  <si>
    <t>Country</t>
  </si>
  <si>
    <t>av_y_schooling</t>
  </si>
  <si>
    <t>r_gdp_growth</t>
  </si>
  <si>
    <t>crude_oil_prices</t>
  </si>
  <si>
    <t>g_capital_form_pc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</si>
</sst>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6F32-27F3-4777-BD5B-B337135C97C4}">
  <dimension ref="B1:P442"/>
  <sheetViews>
    <sheetView tabSelected="1" zoomScale="98" workbookViewId="0">
      <selection activeCell="J14" sqref="J14"/>
    </sheetView>
  </sheetViews>
  <sheetFormatPr defaultRowHeight="14.4" x14ac:dyDescent="0.3"/>
  <cols>
    <col min="4" max="12" width="15.88671875" customWidth="1"/>
    <col min="13" max="13" width="16.5546875" customWidth="1"/>
    <col min="14" max="14" width="14.21875" customWidth="1"/>
    <col min="15" max="15" width="18.109375" customWidth="1"/>
    <col min="16" max="16" width="18.33203125" customWidth="1"/>
  </cols>
  <sheetData>
    <row r="1" spans="2:16" x14ac:dyDescent="0.3">
      <c r="G1" s="5"/>
      <c r="I1" s="5"/>
    </row>
    <row r="2" spans="2:16" x14ac:dyDescent="0.3">
      <c r="B2" t="s">
        <v>29</v>
      </c>
      <c r="C2" t="s">
        <v>28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30</v>
      </c>
      <c r="N2" t="s">
        <v>31</v>
      </c>
      <c r="O2" t="s">
        <v>32</v>
      </c>
      <c r="P2" t="s">
        <v>33</v>
      </c>
    </row>
    <row r="3" spans="2:16" x14ac:dyDescent="0.3">
      <c r="B3" t="s">
        <v>0</v>
      </c>
      <c r="C3">
        <v>2000</v>
      </c>
      <c r="D3">
        <v>17.699028180199722</v>
      </c>
      <c r="E3">
        <v>24271.002056382138</v>
      </c>
      <c r="F3">
        <v>19.739999999999998</v>
      </c>
      <c r="G3">
        <v>19.39189646045282</v>
      </c>
      <c r="H3">
        <v>59.141425218964436</v>
      </c>
      <c r="I3">
        <v>2.4225852893496951</v>
      </c>
      <c r="J3">
        <v>20.3</v>
      </c>
      <c r="K3">
        <v>70.010689002344364</v>
      </c>
      <c r="L3">
        <v>25.2</v>
      </c>
      <c r="M3" s="2">
        <v>12.486000000000001</v>
      </c>
      <c r="N3" s="2">
        <v>5.1390000000000002</v>
      </c>
      <c r="O3" s="4">
        <v>179.23068000000001</v>
      </c>
      <c r="P3">
        <v>20.614467711152077</v>
      </c>
    </row>
    <row r="4" spans="2:16" x14ac:dyDescent="0.3">
      <c r="B4" t="s">
        <v>0</v>
      </c>
      <c r="C4">
        <v>2001</v>
      </c>
      <c r="D4">
        <v>17.22633370356813</v>
      </c>
      <c r="E4">
        <v>23822.096210932032</v>
      </c>
      <c r="F4">
        <v>19.57</v>
      </c>
      <c r="G4">
        <v>19.962476484303963</v>
      </c>
      <c r="H4">
        <v>56.45968338686982</v>
      </c>
      <c r="I4">
        <v>2.8606600819895593</v>
      </c>
      <c r="J4">
        <v>19.8</v>
      </c>
      <c r="K4">
        <v>65.921651255750149</v>
      </c>
      <c r="L4">
        <v>25.2</v>
      </c>
      <c r="M4" s="2">
        <v>12.66</v>
      </c>
      <c r="N4" s="2">
        <v>1.875</v>
      </c>
      <c r="O4" s="4">
        <v>153.74719999999999</v>
      </c>
      <c r="P4">
        <v>19.671394933313529</v>
      </c>
    </row>
    <row r="5" spans="2:16" x14ac:dyDescent="0.3">
      <c r="B5" t="s">
        <v>0</v>
      </c>
      <c r="C5">
        <f>C4+1</f>
        <v>2002</v>
      </c>
      <c r="D5">
        <v>17.668372205552828</v>
      </c>
      <c r="E5">
        <v>24256.019233718485</v>
      </c>
      <c r="F5">
        <v>20.02</v>
      </c>
      <c r="G5">
        <v>19.576593878337608</v>
      </c>
      <c r="H5">
        <v>58.256967610744134</v>
      </c>
      <c r="I5">
        <v>2.3082494916335508</v>
      </c>
      <c r="J5">
        <v>20.100000000000001</v>
      </c>
      <c r="K5">
        <v>63.089912590151357</v>
      </c>
      <c r="L5">
        <v>25.1</v>
      </c>
      <c r="M5" s="2">
        <v>12.792</v>
      </c>
      <c r="N5" s="2">
        <v>2.9990000000000001</v>
      </c>
      <c r="O5" s="4">
        <v>157.39127999999999</v>
      </c>
      <c r="P5">
        <v>19.739345406291601</v>
      </c>
    </row>
    <row r="6" spans="2:16" x14ac:dyDescent="0.3">
      <c r="B6" t="s">
        <v>0</v>
      </c>
      <c r="C6">
        <f t="shared" ref="C6:C46" si="0">C5+1</f>
        <v>2003</v>
      </c>
      <c r="D6">
        <v>18.130154288568136</v>
      </c>
      <c r="E6">
        <v>28301.864593742786</v>
      </c>
      <c r="F6">
        <v>18.5</v>
      </c>
      <c r="G6">
        <v>19.082504146639401</v>
      </c>
      <c r="H6">
        <v>57.189908460499758</v>
      </c>
      <c r="I6">
        <v>3.6564973053197272</v>
      </c>
      <c r="J6">
        <v>19.7</v>
      </c>
      <c r="K6">
        <v>57.815354550975414</v>
      </c>
      <c r="L6">
        <v>25.3</v>
      </c>
      <c r="M6" s="2">
        <v>12.923999999999999</v>
      </c>
      <c r="N6" s="2">
        <v>1.806</v>
      </c>
      <c r="O6" s="4">
        <v>181.33936</v>
      </c>
      <c r="P6">
        <v>20.466677611811832</v>
      </c>
    </row>
    <row r="7" spans="2:16" x14ac:dyDescent="0.3">
      <c r="B7" t="s">
        <v>0</v>
      </c>
      <c r="C7">
        <f t="shared" si="0"/>
        <v>2004</v>
      </c>
      <c r="D7">
        <v>17.525651474709118</v>
      </c>
      <c r="E7">
        <v>32145.541262021703</v>
      </c>
      <c r="F7">
        <v>19.8</v>
      </c>
      <c r="G7">
        <v>16.860263753829759</v>
      </c>
      <c r="H7">
        <v>56.771346743039828</v>
      </c>
      <c r="I7">
        <v>3.8648927667510327</v>
      </c>
      <c r="J7">
        <v>20.399999999999999</v>
      </c>
      <c r="K7">
        <v>58.118113697141027</v>
      </c>
      <c r="L7">
        <v>25.2</v>
      </c>
      <c r="M7" s="2">
        <v>13.055999999999999</v>
      </c>
      <c r="N7" s="2">
        <v>3.0920000000000001</v>
      </c>
      <c r="O7" s="4">
        <v>240.67920000000001</v>
      </c>
      <c r="P7">
        <v>21.382860531067795</v>
      </c>
    </row>
    <row r="8" spans="2:16" x14ac:dyDescent="0.3">
      <c r="B8" t="s">
        <v>0</v>
      </c>
      <c r="C8">
        <f t="shared" si="0"/>
        <v>2005</v>
      </c>
      <c r="D8">
        <v>18.060116617909426</v>
      </c>
      <c r="E8">
        <v>36383.660006809478</v>
      </c>
      <c r="F8">
        <v>20.47</v>
      </c>
      <c r="G8">
        <v>16.190827247514296</v>
      </c>
      <c r="H8">
        <v>58.274326240678107</v>
      </c>
      <c r="I8">
        <v>2.5189415584311061</v>
      </c>
      <c r="J8">
        <v>21.6</v>
      </c>
      <c r="K8">
        <v>58.211660941787727</v>
      </c>
      <c r="L8">
        <v>25.2</v>
      </c>
      <c r="M8" s="2">
        <v>13.188000000000001</v>
      </c>
      <c r="N8" s="2">
        <v>3.21</v>
      </c>
      <c r="O8" s="4">
        <v>342.92673000000002</v>
      </c>
      <c r="P8">
        <v>22.632042111098059</v>
      </c>
    </row>
    <row r="9" spans="2:16" x14ac:dyDescent="0.3">
      <c r="B9" t="s">
        <v>0</v>
      </c>
      <c r="C9">
        <f t="shared" si="0"/>
        <v>2006</v>
      </c>
      <c r="D9">
        <v>17.644346033011441</v>
      </c>
      <c r="E9">
        <v>40504.037097780638</v>
      </c>
      <c r="F9">
        <v>20.43</v>
      </c>
      <c r="G9">
        <v>15.265612483762164</v>
      </c>
      <c r="H9">
        <v>57.819469675996835</v>
      </c>
      <c r="I9">
        <v>1.8569694507557453</v>
      </c>
      <c r="J9">
        <v>21.5</v>
      </c>
      <c r="K9">
        <v>56.635938029125185</v>
      </c>
      <c r="L9">
        <v>25.7</v>
      </c>
      <c r="M9" s="2">
        <v>13.32</v>
      </c>
      <c r="N9" s="2">
        <v>2.6379999999999999</v>
      </c>
      <c r="O9" s="4">
        <v>409.74313000000001</v>
      </c>
      <c r="P9">
        <v>23.595893019656895</v>
      </c>
    </row>
    <row r="10" spans="2:16" x14ac:dyDescent="0.3">
      <c r="B10" t="s">
        <v>0</v>
      </c>
      <c r="C10">
        <f t="shared" si="0"/>
        <v>2007</v>
      </c>
      <c r="D10">
        <v>18.080499898962831</v>
      </c>
      <c r="E10">
        <v>44660.083889228117</v>
      </c>
      <c r="F10">
        <v>20.46</v>
      </c>
      <c r="G10">
        <v>16.109339291739076</v>
      </c>
      <c r="H10">
        <v>58.516987185608158</v>
      </c>
      <c r="I10">
        <v>2.0222612659065877</v>
      </c>
      <c r="J10">
        <v>21.6</v>
      </c>
      <c r="K10">
        <v>55.206272714019498</v>
      </c>
      <c r="L10">
        <v>25.6</v>
      </c>
      <c r="M10" s="2">
        <v>13.368</v>
      </c>
      <c r="N10" s="2">
        <v>2.0499999999999998</v>
      </c>
      <c r="O10" s="4">
        <v>455.31279999999998</v>
      </c>
      <c r="P10">
        <v>23.907876221746129</v>
      </c>
    </row>
    <row r="11" spans="2:16" x14ac:dyDescent="0.3">
      <c r="B11" t="s">
        <v>0</v>
      </c>
      <c r="C11">
        <f t="shared" si="0"/>
        <v>2008</v>
      </c>
      <c r="D11">
        <v>17.307207942131118</v>
      </c>
      <c r="E11">
        <v>46710.252686448373</v>
      </c>
      <c r="F11">
        <v>21.47</v>
      </c>
      <c r="G11">
        <v>14.826389382123292</v>
      </c>
      <c r="H11">
        <v>59.59234373939546</v>
      </c>
      <c r="I11">
        <v>1.660108622053023</v>
      </c>
      <c r="J11">
        <v>21.6</v>
      </c>
      <c r="K11">
        <v>56.373973712161444</v>
      </c>
      <c r="L11">
        <v>25.5</v>
      </c>
      <c r="M11" s="2">
        <v>13.416</v>
      </c>
      <c r="N11" s="2">
        <v>0.995</v>
      </c>
      <c r="O11" s="4">
        <v>611.72064</v>
      </c>
      <c r="P11">
        <v>24.072502776034373</v>
      </c>
    </row>
    <row r="12" spans="2:16" x14ac:dyDescent="0.3">
      <c r="B12" t="s">
        <v>0</v>
      </c>
      <c r="C12">
        <f t="shared" si="0"/>
        <v>2009</v>
      </c>
      <c r="D12">
        <v>16.140062037933969</v>
      </c>
      <c r="E12">
        <v>40874.883193290254</v>
      </c>
      <c r="F12">
        <v>21.54</v>
      </c>
      <c r="G12">
        <v>12.933537402454084</v>
      </c>
      <c r="H12">
        <v>60.55762106203526</v>
      </c>
      <c r="I12">
        <v>1.7990160014713996</v>
      </c>
      <c r="J12">
        <v>22.2</v>
      </c>
      <c r="K12">
        <v>46.994702787567768</v>
      </c>
      <c r="L12">
        <v>25.4</v>
      </c>
      <c r="M12" s="2">
        <v>13.464</v>
      </c>
      <c r="N12" s="2">
        <v>-2.915</v>
      </c>
      <c r="O12" s="4">
        <v>387.89992999999998</v>
      </c>
      <c r="P12">
        <v>21.959494289565427</v>
      </c>
    </row>
    <row r="13" spans="2:16" x14ac:dyDescent="0.3">
      <c r="B13" t="s">
        <v>0</v>
      </c>
      <c r="C13">
        <f t="shared" si="0"/>
        <v>2010</v>
      </c>
      <c r="D13">
        <v>16.529774743219573</v>
      </c>
      <c r="E13">
        <v>47560.666600940582</v>
      </c>
      <c r="F13">
        <v>20.98</v>
      </c>
      <c r="G13">
        <v>13.180452610455742</v>
      </c>
      <c r="H13">
        <v>58.239336379016926</v>
      </c>
      <c r="I13">
        <v>1.381659947272224</v>
      </c>
      <c r="J13">
        <v>21.4</v>
      </c>
      <c r="K13">
        <v>48.856106618108939</v>
      </c>
      <c r="L13">
        <v>25.3</v>
      </c>
      <c r="M13" s="2">
        <v>13.512</v>
      </c>
      <c r="N13" s="2">
        <v>3.0910000000000002</v>
      </c>
      <c r="O13" s="4">
        <v>500.01101999999997</v>
      </c>
      <c r="P13">
        <v>23.482004698549741</v>
      </c>
    </row>
    <row r="14" spans="2:16" x14ac:dyDescent="0.3">
      <c r="B14" t="s">
        <v>0</v>
      </c>
      <c r="C14">
        <f t="shared" si="0"/>
        <v>2011</v>
      </c>
      <c r="D14">
        <v>16.767494521788947</v>
      </c>
      <c r="E14">
        <v>52223.858839853077</v>
      </c>
      <c r="F14">
        <v>21.76</v>
      </c>
      <c r="G14">
        <v>11.860959410991521</v>
      </c>
      <c r="H14">
        <v>59.29801197015194</v>
      </c>
      <c r="I14">
        <v>1.1236416023530043</v>
      </c>
      <c r="J14">
        <v>21.5</v>
      </c>
      <c r="K14">
        <v>51.021101488408647</v>
      </c>
      <c r="L14">
        <v>24.6</v>
      </c>
      <c r="M14" s="2">
        <v>13.56</v>
      </c>
      <c r="N14" s="2">
        <v>3.137</v>
      </c>
      <c r="O14" s="4">
        <v>699.77544999999998</v>
      </c>
      <c r="P14">
        <v>24.151453471494531</v>
      </c>
    </row>
    <row r="15" spans="2:16" x14ac:dyDescent="0.3">
      <c r="B15" t="s">
        <v>0</v>
      </c>
      <c r="C15">
        <f t="shared" si="0"/>
        <v>2012</v>
      </c>
      <c r="D15">
        <v>16.339052979404638</v>
      </c>
      <c r="E15">
        <v>52670.344733541482</v>
      </c>
      <c r="F15">
        <v>22.06</v>
      </c>
      <c r="G15">
        <v>10.18224131361727</v>
      </c>
      <c r="H15">
        <v>60.131570418315519</v>
      </c>
      <c r="I15">
        <v>1.1517549836920347</v>
      </c>
      <c r="J15">
        <v>21.8</v>
      </c>
      <c r="K15">
        <v>50.96833755257142</v>
      </c>
      <c r="L15">
        <v>24.8</v>
      </c>
      <c r="M15" s="2">
        <v>13.593999999999999</v>
      </c>
      <c r="N15" s="2">
        <v>1.756</v>
      </c>
      <c r="O15" s="4">
        <v>702.38007000000005</v>
      </c>
      <c r="P15">
        <v>24.867543598008982</v>
      </c>
    </row>
    <row r="16" spans="2:16" x14ac:dyDescent="0.3">
      <c r="B16" t="s">
        <v>0</v>
      </c>
      <c r="C16">
        <f t="shared" si="0"/>
        <v>2013</v>
      </c>
      <c r="D16">
        <v>16.396768369605965</v>
      </c>
      <c r="E16">
        <v>52638.11872352365</v>
      </c>
      <c r="F16">
        <v>23.18</v>
      </c>
      <c r="G16">
        <v>9.9067076571449419</v>
      </c>
      <c r="H16">
        <v>59.549813916804325</v>
      </c>
      <c r="I16">
        <v>1.1844282785670759</v>
      </c>
      <c r="J16">
        <v>22.2</v>
      </c>
      <c r="K16">
        <v>50.584658515973658</v>
      </c>
      <c r="L16">
        <v>24.7</v>
      </c>
      <c r="M16" s="2">
        <v>13.628</v>
      </c>
      <c r="N16" s="2">
        <v>2.3260000000000001</v>
      </c>
      <c r="O16" s="4">
        <v>683.44029999999998</v>
      </c>
      <c r="P16">
        <v>24.907675073031974</v>
      </c>
    </row>
    <row r="17" spans="2:16" x14ac:dyDescent="0.3">
      <c r="B17" t="s">
        <v>0</v>
      </c>
      <c r="C17">
        <f t="shared" si="0"/>
        <v>2014</v>
      </c>
      <c r="D17">
        <v>16.377454396568545</v>
      </c>
      <c r="E17">
        <v>50960.843117466145</v>
      </c>
      <c r="F17">
        <v>22.85</v>
      </c>
      <c r="G17">
        <v>10.003565441014709</v>
      </c>
      <c r="H17">
        <v>58.044469394102606</v>
      </c>
      <c r="I17">
        <v>1.1454927515342777</v>
      </c>
      <c r="J17">
        <v>22.2</v>
      </c>
      <c r="K17">
        <v>52.699380537804132</v>
      </c>
      <c r="L17">
        <v>24.7</v>
      </c>
      <c r="M17" s="2">
        <v>13.662000000000001</v>
      </c>
      <c r="N17" s="2">
        <v>2.8730000000000002</v>
      </c>
      <c r="O17" s="4">
        <v>622.35059999999999</v>
      </c>
      <c r="P17">
        <v>24.870707610468109</v>
      </c>
    </row>
    <row r="18" spans="2:16" x14ac:dyDescent="0.3">
      <c r="B18" t="s">
        <v>0</v>
      </c>
      <c r="C18">
        <f t="shared" si="0"/>
        <v>2015</v>
      </c>
      <c r="D18">
        <v>16.087029146859869</v>
      </c>
      <c r="E18">
        <v>43594.194104539434</v>
      </c>
      <c r="F18">
        <v>22.58</v>
      </c>
      <c r="G18">
        <v>9.4255509819706251</v>
      </c>
      <c r="H18">
        <v>58.062487658915195</v>
      </c>
      <c r="I18">
        <v>1.1722891383264731</v>
      </c>
      <c r="J18">
        <v>22.3</v>
      </c>
      <c r="K18">
        <v>53.978878323474277</v>
      </c>
      <c r="L18">
        <v>25.1</v>
      </c>
      <c r="M18" s="2">
        <v>13.696</v>
      </c>
      <c r="N18" s="2">
        <v>0.65</v>
      </c>
      <c r="O18" s="4">
        <v>329.50225999999998</v>
      </c>
      <c r="P18">
        <v>23.821593394833911</v>
      </c>
    </row>
    <row r="19" spans="2:16" x14ac:dyDescent="0.3">
      <c r="B19" t="s">
        <v>0</v>
      </c>
      <c r="C19">
        <f t="shared" si="0"/>
        <v>2016</v>
      </c>
      <c r="D19">
        <v>15.898242417926847</v>
      </c>
      <c r="E19">
        <v>42314.06158172182</v>
      </c>
      <c r="F19">
        <v>21.8</v>
      </c>
      <c r="G19">
        <v>9.3469025245368034</v>
      </c>
      <c r="H19">
        <v>57.933303177348748</v>
      </c>
      <c r="I19">
        <v>1.16962140213306</v>
      </c>
      <c r="J19">
        <v>22.1</v>
      </c>
      <c r="K19">
        <v>52.548021140287815</v>
      </c>
      <c r="L19">
        <v>24.6</v>
      </c>
      <c r="M19" s="2">
        <v>13.73</v>
      </c>
      <c r="N19" s="2">
        <v>1.0389999999999999</v>
      </c>
      <c r="O19" s="4">
        <v>275.07916</v>
      </c>
      <c r="P19">
        <v>22.761120159483948</v>
      </c>
    </row>
    <row r="20" spans="2:16" x14ac:dyDescent="0.3">
      <c r="B20" t="s">
        <v>0</v>
      </c>
      <c r="C20">
        <f t="shared" si="0"/>
        <v>2017</v>
      </c>
      <c r="D20">
        <v>16.196245321702033</v>
      </c>
      <c r="E20">
        <v>45129.628116622967</v>
      </c>
      <c r="F20">
        <v>21.21</v>
      </c>
      <c r="G20">
        <v>9.0632318148026947</v>
      </c>
      <c r="H20">
        <v>59.511613283612022</v>
      </c>
      <c r="I20">
        <v>0.85529500288767624</v>
      </c>
      <c r="J20">
        <v>22.8</v>
      </c>
      <c r="K20">
        <v>52.406111957551893</v>
      </c>
      <c r="L20">
        <v>24.9</v>
      </c>
      <c r="M20" s="2">
        <v>13.757999</v>
      </c>
      <c r="N20" s="2">
        <v>3.0339999999999998</v>
      </c>
      <c r="O20" s="4">
        <v>340.85962000000001</v>
      </c>
      <c r="P20">
        <v>23.550469228609561</v>
      </c>
    </row>
    <row r="21" spans="2:16" x14ac:dyDescent="0.3">
      <c r="B21" t="s">
        <v>0</v>
      </c>
      <c r="C21">
        <f t="shared" si="0"/>
        <v>2018</v>
      </c>
      <c r="D21">
        <v>16.523882045563546</v>
      </c>
      <c r="E21">
        <v>46539.176157040529</v>
      </c>
      <c r="F21">
        <v>20.7</v>
      </c>
      <c r="G21">
        <v>7.6693452313202366</v>
      </c>
      <c r="H21">
        <v>58.574366212145357</v>
      </c>
      <c r="I21">
        <v>0.88339517554842284</v>
      </c>
      <c r="J21">
        <v>22.3</v>
      </c>
      <c r="K21">
        <v>53.40540250835928</v>
      </c>
      <c r="L21">
        <v>24.4</v>
      </c>
      <c r="M21" s="2">
        <v>13.785999</v>
      </c>
      <c r="N21" s="2">
        <v>2.7429999999999999</v>
      </c>
      <c r="O21" s="4">
        <v>448.52600000000001</v>
      </c>
      <c r="P21">
        <v>23.377311161923572</v>
      </c>
    </row>
    <row r="22" spans="2:16" x14ac:dyDescent="0.3">
      <c r="B22" t="s">
        <v>0</v>
      </c>
      <c r="C22">
        <f t="shared" si="0"/>
        <v>2019</v>
      </c>
      <c r="D22">
        <v>16.190860373334978</v>
      </c>
      <c r="E22">
        <v>46352.869344521125</v>
      </c>
      <c r="F22">
        <v>20.41</v>
      </c>
      <c r="G22">
        <v>7.3359588096478596</v>
      </c>
      <c r="H22">
        <v>58.512826013668814</v>
      </c>
      <c r="I22">
        <v>0.77860185724355635</v>
      </c>
      <c r="J22">
        <v>22.4</v>
      </c>
      <c r="K22">
        <v>52.290923394224585</v>
      </c>
      <c r="L22">
        <v>24</v>
      </c>
      <c r="M22" s="2">
        <v>13.814</v>
      </c>
      <c r="N22" s="2">
        <v>1.9079999999999999</v>
      </c>
      <c r="O22" s="4">
        <v>403.87164000000001</v>
      </c>
      <c r="P22">
        <v>23.042424174314682</v>
      </c>
    </row>
    <row r="23" spans="2:16" x14ac:dyDescent="0.3">
      <c r="B23" t="s">
        <v>0</v>
      </c>
      <c r="C23">
        <f t="shared" si="0"/>
        <v>2020</v>
      </c>
      <c r="D23">
        <v>14.42190488126343</v>
      </c>
      <c r="E23">
        <v>43537.839298903986</v>
      </c>
      <c r="F23">
        <v>21.85</v>
      </c>
      <c r="G23">
        <v>5.9304603104729798</v>
      </c>
      <c r="H23">
        <v>59.299541545432099</v>
      </c>
      <c r="I23">
        <v>0.69573433255671635</v>
      </c>
      <c r="J23">
        <v>23.9</v>
      </c>
      <c r="K23">
        <v>49.02835577881455</v>
      </c>
      <c r="L23">
        <v>23.4</v>
      </c>
      <c r="M23" s="2">
        <v>13.842000000000001</v>
      </c>
      <c r="N23" s="2">
        <v>-5.0380000000000003</v>
      </c>
      <c r="O23" s="4">
        <v>263.15481999999997</v>
      </c>
      <c r="P23">
        <v>22.674717611953206</v>
      </c>
    </row>
    <row r="24" spans="2:16" x14ac:dyDescent="0.3">
      <c r="B24" t="s">
        <v>0</v>
      </c>
      <c r="C24">
        <f t="shared" si="0"/>
        <v>2021</v>
      </c>
      <c r="D24">
        <v>14.689759356884743</v>
      </c>
      <c r="E24">
        <v>52886.661637270321</v>
      </c>
      <c r="F24">
        <v>21.09</v>
      </c>
      <c r="G24">
        <v>5.3218722336630666</v>
      </c>
      <c r="H24">
        <v>59.092741904336691</v>
      </c>
      <c r="I24">
        <v>0.65596462796485666</v>
      </c>
      <c r="J24">
        <v>23.8</v>
      </c>
      <c r="K24">
        <v>50.233765598657953</v>
      </c>
      <c r="L24">
        <v>24.1</v>
      </c>
      <c r="M24" s="2">
        <v>13.87</v>
      </c>
      <c r="N24" s="2">
        <v>5.9509999999999996</v>
      </c>
      <c r="O24" s="4">
        <v>446.02163999999999</v>
      </c>
      <c r="P24">
        <v>24.305055496972567</v>
      </c>
    </row>
    <row r="25" spans="2:16" x14ac:dyDescent="0.3">
      <c r="B25" t="s">
        <v>1</v>
      </c>
      <c r="C25">
        <v>2000</v>
      </c>
      <c r="D25">
        <v>1.3031336002716281</v>
      </c>
      <c r="E25">
        <v>3812.7538828492393</v>
      </c>
      <c r="F25">
        <v>33.76</v>
      </c>
      <c r="G25">
        <v>0</v>
      </c>
      <c r="H25">
        <v>82.150599797658614</v>
      </c>
      <c r="I25">
        <v>0.85272438213614687</v>
      </c>
      <c r="J25">
        <v>33</v>
      </c>
      <c r="K25">
        <v>81.519261335327727</v>
      </c>
      <c r="L25">
        <v>35.700000000000003</v>
      </c>
      <c r="M25" s="2">
        <v>7.5581329999999998</v>
      </c>
      <c r="N25">
        <v>3.8690000000000002</v>
      </c>
      <c r="O25" s="4">
        <v>179.23068000000001</v>
      </c>
      <c r="P25">
        <v>20.686690303572309</v>
      </c>
    </row>
    <row r="26" spans="2:16" x14ac:dyDescent="0.3">
      <c r="B26" t="s">
        <v>1</v>
      </c>
      <c r="C26">
        <v>2001</v>
      </c>
      <c r="D26">
        <v>1.3799633669389992</v>
      </c>
      <c r="E26">
        <v>3985.1298450620711</v>
      </c>
      <c r="F26">
        <v>35.15</v>
      </c>
      <c r="G26">
        <v>0</v>
      </c>
      <c r="H26">
        <v>80.919199406968119</v>
      </c>
      <c r="I26">
        <v>1.4825796886582654</v>
      </c>
      <c r="J26">
        <v>32.1</v>
      </c>
      <c r="K26">
        <v>72.545527831268259</v>
      </c>
      <c r="L26">
        <v>39.700000000000003</v>
      </c>
      <c r="M26" s="2">
        <v>7.6574225</v>
      </c>
      <c r="N26">
        <v>3.4910000000000001</v>
      </c>
      <c r="O26" s="4">
        <v>153.74719999999999</v>
      </c>
      <c r="P26">
        <v>20.115489121137927</v>
      </c>
    </row>
    <row r="27" spans="2:16" x14ac:dyDescent="0.3">
      <c r="B27" t="s">
        <v>1</v>
      </c>
      <c r="C27">
        <f>C26+1</f>
        <v>2002</v>
      </c>
      <c r="D27">
        <v>1.3853554170382794</v>
      </c>
      <c r="E27">
        <v>4067.7185142909238</v>
      </c>
      <c r="F27">
        <v>37.29</v>
      </c>
      <c r="G27">
        <v>0</v>
      </c>
      <c r="H27">
        <v>79.33554817275747</v>
      </c>
      <c r="I27">
        <v>1.621262458471761</v>
      </c>
      <c r="J27">
        <v>32.5</v>
      </c>
      <c r="K27">
        <v>75.107875492903105</v>
      </c>
      <c r="L27">
        <v>40.4</v>
      </c>
      <c r="M27" s="2">
        <v>7.7567114999999998</v>
      </c>
      <c r="N27">
        <v>3.4169999999999998</v>
      </c>
      <c r="O27" s="4">
        <v>157.39127999999999</v>
      </c>
      <c r="P27">
        <v>19.886319375464719</v>
      </c>
    </row>
    <row r="28" spans="2:16" x14ac:dyDescent="0.3">
      <c r="B28" t="s">
        <v>1</v>
      </c>
      <c r="C28">
        <f t="shared" si="0"/>
        <v>2003</v>
      </c>
      <c r="D28">
        <v>1.46632440832863</v>
      </c>
      <c r="E28">
        <v>4173.1485641551426</v>
      </c>
      <c r="F28">
        <v>34.450000000000003</v>
      </c>
      <c r="G28">
        <v>0</v>
      </c>
      <c r="H28">
        <v>80.799677982020668</v>
      </c>
      <c r="I28">
        <v>2.1065342814973835</v>
      </c>
      <c r="J28">
        <v>33.299999999999997</v>
      </c>
      <c r="K28">
        <v>79.696565931784789</v>
      </c>
      <c r="L28">
        <v>37</v>
      </c>
      <c r="M28" s="2">
        <v>7.856001</v>
      </c>
      <c r="N28">
        <v>4.3170000000000002</v>
      </c>
      <c r="O28" s="4">
        <v>181.33936</v>
      </c>
      <c r="P28">
        <v>18.96505103887371</v>
      </c>
    </row>
    <row r="29" spans="2:16" x14ac:dyDescent="0.3">
      <c r="B29" t="s">
        <v>1</v>
      </c>
      <c r="C29">
        <f t="shared" si="0"/>
        <v>2004</v>
      </c>
      <c r="D29">
        <v>1.4714488635687244</v>
      </c>
      <c r="E29">
        <v>4431.0117207843041</v>
      </c>
      <c r="F29">
        <v>39.57</v>
      </c>
      <c r="G29">
        <v>0</v>
      </c>
      <c r="H29">
        <v>81.107729762629333</v>
      </c>
      <c r="I29">
        <v>0.8034083992696287</v>
      </c>
      <c r="J29">
        <v>39.200000000000003</v>
      </c>
      <c r="K29">
        <v>78.283365579624515</v>
      </c>
      <c r="L29">
        <v>36.6</v>
      </c>
      <c r="M29" s="2">
        <v>7.9552899999999998</v>
      </c>
      <c r="N29">
        <v>4.4249999999999998</v>
      </c>
      <c r="O29" s="4">
        <v>240.67920000000001</v>
      </c>
      <c r="P29">
        <v>18.929970613634293</v>
      </c>
    </row>
    <row r="30" spans="2:16" x14ac:dyDescent="0.3">
      <c r="B30" t="s">
        <v>1</v>
      </c>
      <c r="C30">
        <f t="shared" si="0"/>
        <v>2005</v>
      </c>
      <c r="D30">
        <v>1.4916080765223267</v>
      </c>
      <c r="E30">
        <v>4703.0072178477794</v>
      </c>
      <c r="F30">
        <v>36.49</v>
      </c>
      <c r="G30">
        <v>0</v>
      </c>
      <c r="H30">
        <v>79.491525423728817</v>
      </c>
      <c r="I30">
        <v>3.280871670702179</v>
      </c>
      <c r="J30">
        <v>41.7</v>
      </c>
      <c r="K30">
        <v>84.079140772825085</v>
      </c>
      <c r="L30">
        <v>35.9</v>
      </c>
      <c r="M30" s="2">
        <v>8.0545790000000004</v>
      </c>
      <c r="N30">
        <v>3.9769999999999999</v>
      </c>
      <c r="O30" s="4">
        <v>342.92673000000002</v>
      </c>
      <c r="P30">
        <v>18.96414572891608</v>
      </c>
    </row>
    <row r="31" spans="2:16" x14ac:dyDescent="0.3">
      <c r="B31" t="s">
        <v>1</v>
      </c>
      <c r="C31">
        <f t="shared" si="0"/>
        <v>2006</v>
      </c>
      <c r="D31">
        <v>1.5979765535690318</v>
      </c>
      <c r="E31">
        <v>5256.5964085915894</v>
      </c>
      <c r="F31">
        <v>34.99</v>
      </c>
      <c r="G31">
        <v>0</v>
      </c>
      <c r="H31">
        <v>75.899735540991145</v>
      </c>
      <c r="I31">
        <v>6.1285500747384152</v>
      </c>
      <c r="J31">
        <v>42.4</v>
      </c>
      <c r="K31">
        <v>86.936078640717042</v>
      </c>
      <c r="L31">
        <v>38.299999999999997</v>
      </c>
      <c r="M31" s="2">
        <v>8.0322894999999992</v>
      </c>
      <c r="N31">
        <v>7.327</v>
      </c>
      <c r="O31" s="4">
        <v>409.74313000000001</v>
      </c>
      <c r="P31">
        <v>21.085641511986918</v>
      </c>
    </row>
    <row r="32" spans="2:16" x14ac:dyDescent="0.3">
      <c r="B32" t="s">
        <v>1</v>
      </c>
      <c r="C32">
        <f t="shared" si="0"/>
        <v>2007</v>
      </c>
      <c r="D32">
        <v>1.761019010795736</v>
      </c>
      <c r="E32">
        <v>6137.7119992554244</v>
      </c>
      <c r="F32">
        <v>32.49</v>
      </c>
      <c r="G32">
        <v>0</v>
      </c>
      <c r="H32">
        <v>74.795580110497241</v>
      </c>
      <c r="I32">
        <v>7.9779005524861875</v>
      </c>
      <c r="J32">
        <v>41.2</v>
      </c>
      <c r="K32">
        <v>82.905888523719611</v>
      </c>
      <c r="L32">
        <v>38.9</v>
      </c>
      <c r="M32" s="2">
        <v>8.01</v>
      </c>
      <c r="N32">
        <v>8.2149999999999999</v>
      </c>
      <c r="O32" s="4">
        <v>455.31279999999998</v>
      </c>
      <c r="P32">
        <v>23.286768266360109</v>
      </c>
    </row>
    <row r="33" spans="2:16" x14ac:dyDescent="0.3">
      <c r="B33" t="s">
        <v>1</v>
      </c>
      <c r="C33">
        <f t="shared" si="0"/>
        <v>2008</v>
      </c>
      <c r="D33">
        <v>1.7185143610801306</v>
      </c>
      <c r="E33">
        <v>6937.2426159605548</v>
      </c>
      <c r="F33">
        <v>33.71</v>
      </c>
      <c r="G33">
        <v>0</v>
      </c>
      <c r="H33">
        <v>77.960734642178593</v>
      </c>
      <c r="I33">
        <v>7.1458729153472662</v>
      </c>
      <c r="J33">
        <v>40.700000000000003</v>
      </c>
      <c r="K33">
        <v>80.76165630974441</v>
      </c>
      <c r="L33">
        <v>37.700000000000003</v>
      </c>
      <c r="M33" s="2">
        <v>8.2899999999999991</v>
      </c>
      <c r="N33">
        <v>4.7380000000000004</v>
      </c>
      <c r="O33" s="4">
        <v>611.72064</v>
      </c>
      <c r="P33">
        <v>24.610740091840363</v>
      </c>
    </row>
    <row r="34" spans="2:16" x14ac:dyDescent="0.3">
      <c r="B34" t="s">
        <v>1</v>
      </c>
      <c r="C34">
        <f t="shared" si="0"/>
        <v>2009</v>
      </c>
      <c r="D34">
        <v>1.6264755407528928</v>
      </c>
      <c r="E34">
        <v>6832.6982992413796</v>
      </c>
      <c r="F34">
        <v>35.5</v>
      </c>
      <c r="G34">
        <v>0</v>
      </c>
      <c r="H34">
        <v>77.593984962406012</v>
      </c>
      <c r="I34">
        <v>4.8442534908700328</v>
      </c>
      <c r="J34">
        <v>40.700000000000003</v>
      </c>
      <c r="K34">
        <v>65.631911474904442</v>
      </c>
      <c r="L34">
        <v>39.4</v>
      </c>
      <c r="M34" s="2">
        <v>8.36</v>
      </c>
      <c r="N34">
        <v>-0.873</v>
      </c>
      <c r="O34" s="4">
        <v>387.89992999999998</v>
      </c>
      <c r="P34">
        <v>18.452913596843938</v>
      </c>
    </row>
    <row r="35" spans="2:16" x14ac:dyDescent="0.3">
      <c r="B35" t="s">
        <v>1</v>
      </c>
      <c r="C35">
        <f t="shared" si="0"/>
        <v>2010</v>
      </c>
      <c r="D35">
        <v>1.5882924396647733</v>
      </c>
      <c r="E35">
        <v>8265.7882027558153</v>
      </c>
      <c r="F35">
        <v>35.92</v>
      </c>
      <c r="G35">
        <v>0</v>
      </c>
      <c r="H35">
        <v>75.780027131378475</v>
      </c>
      <c r="I35">
        <v>6.6889283105499322</v>
      </c>
      <c r="J35">
        <v>40.4</v>
      </c>
      <c r="K35">
        <v>61.122797020025658</v>
      </c>
      <c r="L35">
        <v>36.799999999999997</v>
      </c>
      <c r="M35" s="2">
        <v>8.23</v>
      </c>
      <c r="N35">
        <v>5.36</v>
      </c>
      <c r="O35" s="4">
        <v>500.01101999999997</v>
      </c>
      <c r="P35">
        <v>19.833918521121667</v>
      </c>
    </row>
    <row r="36" spans="2:16" x14ac:dyDescent="0.3">
      <c r="B36" t="s">
        <v>1</v>
      </c>
      <c r="C36">
        <f t="shared" si="0"/>
        <v>2011</v>
      </c>
      <c r="D36">
        <v>1.6699954206584058</v>
      </c>
      <c r="E36">
        <v>9276.3910751134717</v>
      </c>
      <c r="F36">
        <v>36.65</v>
      </c>
      <c r="G36">
        <v>0</v>
      </c>
      <c r="H36">
        <v>72.56916192026037</v>
      </c>
      <c r="I36">
        <v>8.7774613506916186</v>
      </c>
      <c r="J36">
        <v>38</v>
      </c>
      <c r="K36">
        <v>62.269346273951875</v>
      </c>
      <c r="L36">
        <v>36.9</v>
      </c>
      <c r="M36" s="2">
        <v>8.35</v>
      </c>
      <c r="N36">
        <v>4.4029999999999996</v>
      </c>
      <c r="O36" s="4">
        <v>699.77544999999998</v>
      </c>
      <c r="P36">
        <v>20.04817959751556</v>
      </c>
    </row>
    <row r="37" spans="2:16" x14ac:dyDescent="0.3">
      <c r="B37" t="s">
        <v>1</v>
      </c>
      <c r="C37">
        <f t="shared" si="0"/>
        <v>2012</v>
      </c>
      <c r="D37">
        <v>1.6379734361592595</v>
      </c>
      <c r="E37">
        <v>10126.999102417712</v>
      </c>
      <c r="F37">
        <v>38.549999999999997</v>
      </c>
      <c r="G37">
        <v>0</v>
      </c>
      <c r="H37">
        <v>71.092982111264007</v>
      </c>
      <c r="I37">
        <v>8.1580499311971693</v>
      </c>
      <c r="J37">
        <v>38.1</v>
      </c>
      <c r="K37">
        <v>61.450312792759888</v>
      </c>
      <c r="L37">
        <v>36.6</v>
      </c>
      <c r="M37" s="2">
        <v>8.41</v>
      </c>
      <c r="N37">
        <v>4.883</v>
      </c>
      <c r="O37" s="4">
        <v>702.38007000000005</v>
      </c>
      <c r="P37">
        <v>19.85419550797009</v>
      </c>
    </row>
    <row r="38" spans="2:16" x14ac:dyDescent="0.3">
      <c r="B38" t="s">
        <v>1</v>
      </c>
      <c r="C38">
        <f t="shared" si="0"/>
        <v>2013</v>
      </c>
      <c r="D38">
        <v>1.6825811409186353</v>
      </c>
      <c r="E38">
        <v>10803.240196217295</v>
      </c>
      <c r="F38">
        <v>38.71</v>
      </c>
      <c r="G38">
        <v>0</v>
      </c>
      <c r="H38">
        <v>66.936980947728387</v>
      </c>
      <c r="I38">
        <v>11.685393258426966</v>
      </c>
      <c r="J38">
        <v>37.799999999999997</v>
      </c>
      <c r="K38">
        <v>58.110289375984458</v>
      </c>
      <c r="L38">
        <v>37</v>
      </c>
      <c r="M38" s="2">
        <v>8.58</v>
      </c>
      <c r="N38">
        <v>2.4950000000000001</v>
      </c>
      <c r="O38" s="4">
        <v>683.44029999999998</v>
      </c>
      <c r="P38">
        <v>19.590460162000834</v>
      </c>
    </row>
    <row r="39" spans="2:16" x14ac:dyDescent="0.3">
      <c r="B39" t="s">
        <v>1</v>
      </c>
      <c r="C39">
        <f t="shared" si="0"/>
        <v>2014</v>
      </c>
      <c r="D39">
        <v>1.6878538169489792</v>
      </c>
      <c r="E39">
        <v>10911.497878334028</v>
      </c>
      <c r="F39">
        <v>38.71</v>
      </c>
      <c r="G39">
        <v>0</v>
      </c>
      <c r="H39">
        <v>65.743368894978957</v>
      </c>
      <c r="I39">
        <v>10.208476069296271</v>
      </c>
      <c r="J39">
        <v>37.6</v>
      </c>
      <c r="K39">
        <v>55.288322730186877</v>
      </c>
      <c r="L39">
        <v>36.9</v>
      </c>
      <c r="M39" s="2">
        <v>8.75</v>
      </c>
      <c r="N39">
        <v>3.5419999999999998</v>
      </c>
      <c r="O39" s="4">
        <v>622.35059999999999</v>
      </c>
      <c r="P39">
        <v>19.223153289200663</v>
      </c>
    </row>
    <row r="40" spans="2:16" x14ac:dyDescent="0.3">
      <c r="B40" t="s">
        <v>1</v>
      </c>
      <c r="C40">
        <f t="shared" si="0"/>
        <v>2015</v>
      </c>
      <c r="D40">
        <v>1.6101574956444924</v>
      </c>
      <c r="E40">
        <v>11714.710598073205</v>
      </c>
      <c r="F40">
        <v>39.89</v>
      </c>
      <c r="G40">
        <v>0</v>
      </c>
      <c r="H40">
        <v>74.611542730299661</v>
      </c>
      <c r="I40">
        <v>0.99889012208657058</v>
      </c>
      <c r="J40">
        <v>38.299999999999997</v>
      </c>
      <c r="K40">
        <v>45.524673197618384</v>
      </c>
      <c r="L40">
        <v>36.799999999999997</v>
      </c>
      <c r="M40" s="2">
        <v>8.58</v>
      </c>
      <c r="N40">
        <v>3.6520000000000001</v>
      </c>
      <c r="O40" s="4">
        <v>329.50225999999998</v>
      </c>
      <c r="P40">
        <v>18.85372644245011</v>
      </c>
    </row>
    <row r="41" spans="2:16" x14ac:dyDescent="0.3">
      <c r="B41" t="s">
        <v>1</v>
      </c>
      <c r="C41">
        <f t="shared" si="0"/>
        <v>2016</v>
      </c>
      <c r="D41">
        <v>1.6914944283930258</v>
      </c>
      <c r="E41">
        <v>12091.030160615413</v>
      </c>
      <c r="F41">
        <v>37.15</v>
      </c>
      <c r="G41">
        <v>0</v>
      </c>
      <c r="H41">
        <v>73.408342480790338</v>
      </c>
      <c r="I41">
        <v>1.765459202341749</v>
      </c>
      <c r="J41">
        <v>34.1</v>
      </c>
      <c r="K41">
        <v>43.871380693958315</v>
      </c>
      <c r="L41">
        <v>37.299999999999997</v>
      </c>
      <c r="M41" s="2">
        <v>8.56</v>
      </c>
      <c r="N41">
        <v>4.2039999999999997</v>
      </c>
      <c r="O41" s="4">
        <v>275.07916</v>
      </c>
      <c r="P41">
        <v>18.888940977992977</v>
      </c>
    </row>
    <row r="42" spans="2:16" x14ac:dyDescent="0.3">
      <c r="B42" t="s">
        <v>1</v>
      </c>
      <c r="C42">
        <f t="shared" si="0"/>
        <v>2017</v>
      </c>
      <c r="D42">
        <v>1.7088739119311194</v>
      </c>
      <c r="E42">
        <v>12317.090277130377</v>
      </c>
      <c r="F42">
        <v>35.79</v>
      </c>
      <c r="G42">
        <v>0</v>
      </c>
      <c r="H42">
        <v>76.393413753632117</v>
      </c>
      <c r="I42">
        <v>0.32579026151272344</v>
      </c>
      <c r="J42">
        <v>33.299999999999997</v>
      </c>
      <c r="K42">
        <v>45.549903594087382</v>
      </c>
      <c r="L42">
        <v>37</v>
      </c>
      <c r="M42" s="2">
        <v>8.64</v>
      </c>
      <c r="N42">
        <v>4.1580000000000004</v>
      </c>
      <c r="O42" s="4">
        <v>340.85962000000001</v>
      </c>
      <c r="P42">
        <v>18.06487424241574</v>
      </c>
    </row>
    <row r="43" spans="2:16" x14ac:dyDescent="0.3">
      <c r="B43" t="s">
        <v>1</v>
      </c>
      <c r="C43">
        <f t="shared" si="0"/>
        <v>2018</v>
      </c>
      <c r="D43">
        <v>1.7024626559506622</v>
      </c>
      <c r="E43">
        <v>12590.24937816141</v>
      </c>
      <c r="F43">
        <v>34.25</v>
      </c>
      <c r="G43">
        <v>0</v>
      </c>
      <c r="H43">
        <v>72.406909122472001</v>
      </c>
      <c r="I43">
        <v>1.3714087318809132</v>
      </c>
      <c r="J43">
        <v>33.1</v>
      </c>
      <c r="K43">
        <v>47.715349685535017</v>
      </c>
      <c r="L43">
        <v>36.299999999999997</v>
      </c>
      <c r="M43" s="2">
        <v>8.7200000000000006</v>
      </c>
      <c r="N43">
        <v>2.6160000000000001</v>
      </c>
      <c r="O43" s="4">
        <v>448.52600000000001</v>
      </c>
      <c r="P43">
        <v>18.369860566009116</v>
      </c>
    </row>
    <row r="44" spans="2:16" x14ac:dyDescent="0.3">
      <c r="B44" t="s">
        <v>1</v>
      </c>
      <c r="C44">
        <f t="shared" si="0"/>
        <v>2019</v>
      </c>
      <c r="D44">
        <v>1.6387465039374518</v>
      </c>
      <c r="E44">
        <v>12884.685995198872</v>
      </c>
      <c r="F44">
        <v>39.81</v>
      </c>
      <c r="G44">
        <v>0</v>
      </c>
      <c r="H44">
        <v>68.105473849099297</v>
      </c>
      <c r="I44">
        <v>0.82673396571229651</v>
      </c>
      <c r="J44">
        <v>33.4</v>
      </c>
      <c r="K44">
        <v>45.697088643156711</v>
      </c>
      <c r="L44">
        <v>36.700000000000003</v>
      </c>
      <c r="M44" s="2">
        <v>8.76</v>
      </c>
      <c r="N44">
        <v>2.4180000000000001</v>
      </c>
      <c r="O44" s="4">
        <v>403.87164000000001</v>
      </c>
      <c r="P44">
        <v>16.064085199446396</v>
      </c>
    </row>
    <row r="45" spans="2:16" x14ac:dyDescent="0.3">
      <c r="B45" t="s">
        <v>1</v>
      </c>
      <c r="C45">
        <f t="shared" si="0"/>
        <v>2020</v>
      </c>
      <c r="D45">
        <v>1.4252967630186399</v>
      </c>
      <c r="E45">
        <v>12394.049396949189</v>
      </c>
      <c r="F45">
        <v>44.57</v>
      </c>
      <c r="G45">
        <v>0</v>
      </c>
      <c r="H45">
        <v>70.713615824025922</v>
      </c>
      <c r="I45">
        <v>0.19609514877653678</v>
      </c>
      <c r="J45">
        <v>36.4</v>
      </c>
      <c r="K45">
        <v>43.690573211689298</v>
      </c>
      <c r="L45">
        <v>37</v>
      </c>
      <c r="M45" s="2">
        <v>8.8000000000000007</v>
      </c>
      <c r="N45">
        <v>-4.2729999999999997</v>
      </c>
      <c r="O45" s="4">
        <v>263.15481999999997</v>
      </c>
      <c r="P45">
        <v>16.163054669034484</v>
      </c>
    </row>
    <row r="46" spans="2:16" x14ac:dyDescent="0.3">
      <c r="B46" t="s">
        <v>1</v>
      </c>
      <c r="C46">
        <f t="shared" si="0"/>
        <v>2021</v>
      </c>
      <c r="D46">
        <v>1.5915255134992417</v>
      </c>
      <c r="E46">
        <v>12838.11853589308</v>
      </c>
      <c r="F46">
        <v>42.81</v>
      </c>
      <c r="G46">
        <v>0</v>
      </c>
      <c r="H46">
        <v>72.897856638140851</v>
      </c>
      <c r="I46">
        <v>1.5702284682421293E-2</v>
      </c>
      <c r="J46">
        <v>34.200000000000003</v>
      </c>
      <c r="K46">
        <v>55.759845030382806</v>
      </c>
      <c r="L46">
        <v>37.200000000000003</v>
      </c>
      <c r="M46" s="2">
        <v>8.8447519999999997</v>
      </c>
      <c r="N46">
        <v>7.9359999999999999</v>
      </c>
      <c r="O46" s="4">
        <v>446.02163999999999</v>
      </c>
      <c r="P46">
        <v>18.581784885278832</v>
      </c>
    </row>
    <row r="47" spans="2:16" x14ac:dyDescent="0.3">
      <c r="B47" t="s">
        <v>2</v>
      </c>
      <c r="C47">
        <v>2000</v>
      </c>
      <c r="D47">
        <v>2.2149789321997799</v>
      </c>
      <c r="E47">
        <v>2831.4588363803341</v>
      </c>
      <c r="F47">
        <v>1.1399999999999999</v>
      </c>
      <c r="G47">
        <v>0</v>
      </c>
      <c r="H47">
        <v>7.1221595241726403</v>
      </c>
      <c r="I47">
        <v>92.305932591123991</v>
      </c>
      <c r="J47">
        <v>19.100000000000001</v>
      </c>
      <c r="K47">
        <v>62.602391720977415</v>
      </c>
      <c r="L47">
        <v>40.200000000000003</v>
      </c>
      <c r="M47" s="2">
        <v>6.4650903</v>
      </c>
      <c r="N47">
        <v>4.6520000000000001</v>
      </c>
      <c r="O47" s="4">
        <v>179.23068000000001</v>
      </c>
      <c r="P47">
        <v>27.89266220041069</v>
      </c>
    </row>
    <row r="48" spans="2:16" x14ac:dyDescent="0.3">
      <c r="B48" t="s">
        <v>2</v>
      </c>
      <c r="C48">
        <v>2001</v>
      </c>
      <c r="D48">
        <v>2.195834699401384</v>
      </c>
      <c r="E48">
        <v>2935.8936731266808</v>
      </c>
      <c r="F48">
        <v>0.94</v>
      </c>
      <c r="G48">
        <v>1.1322817429330001</v>
      </c>
      <c r="H48">
        <v>5.7629236295486486</v>
      </c>
      <c r="I48">
        <v>92.511322817429331</v>
      </c>
      <c r="J48">
        <v>18.899999999999999</v>
      </c>
      <c r="K48">
        <v>54.898432906643279</v>
      </c>
      <c r="L48">
        <v>39.200000000000003</v>
      </c>
      <c r="M48" s="2">
        <v>6.5429582999999996</v>
      </c>
      <c r="N48">
        <v>2.4689999999999999</v>
      </c>
      <c r="O48" s="4">
        <v>153.74719999999999</v>
      </c>
      <c r="P48">
        <v>26.770644074113946</v>
      </c>
    </row>
    <row r="49" spans="2:16" x14ac:dyDescent="0.3">
      <c r="B49" t="s">
        <v>2</v>
      </c>
      <c r="C49">
        <f>C48+1</f>
        <v>2002</v>
      </c>
      <c r="D49">
        <v>2.3743947150070008</v>
      </c>
      <c r="E49">
        <v>3065.6032952419596</v>
      </c>
      <c r="F49">
        <v>1.1200000000000001</v>
      </c>
      <c r="G49">
        <v>4.2507359804695914</v>
      </c>
      <c r="H49">
        <v>6.9864292381704605</v>
      </c>
      <c r="I49">
        <v>88.174050405686799</v>
      </c>
      <c r="J49">
        <v>17.899999999999999</v>
      </c>
      <c r="K49">
        <v>51.600296838203839</v>
      </c>
      <c r="L49">
        <v>38.299999999999997</v>
      </c>
      <c r="M49" s="2">
        <v>6.6208261999999998</v>
      </c>
      <c r="N49">
        <v>4.4870000000000001</v>
      </c>
      <c r="O49" s="4">
        <v>157.39127999999999</v>
      </c>
      <c r="P49">
        <v>26.956755678545068</v>
      </c>
    </row>
    <row r="50" spans="2:16" x14ac:dyDescent="0.3">
      <c r="B50" t="s">
        <v>2</v>
      </c>
      <c r="C50">
        <f t="shared" ref="C50:C68" si="1">C49+1</f>
        <v>2003</v>
      </c>
      <c r="D50">
        <v>2.0925949433335336</v>
      </c>
      <c r="E50">
        <v>2383.2617178039336</v>
      </c>
      <c r="F50">
        <v>1.73</v>
      </c>
      <c r="G50">
        <v>9.4474402969395612</v>
      </c>
      <c r="H50">
        <v>9.6225225856152399</v>
      </c>
      <c r="I50">
        <v>73.99677848588837</v>
      </c>
      <c r="J50">
        <v>18.899999999999999</v>
      </c>
      <c r="K50">
        <v>61.196548533985286</v>
      </c>
      <c r="L50">
        <v>41.7</v>
      </c>
      <c r="M50" s="2">
        <v>6.6986938</v>
      </c>
      <c r="N50">
        <v>-1.349</v>
      </c>
      <c r="O50" s="4">
        <v>181.33936</v>
      </c>
      <c r="P50">
        <v>19.409162740480582</v>
      </c>
    </row>
    <row r="51" spans="2:16" x14ac:dyDescent="0.3">
      <c r="B51" t="s">
        <v>2</v>
      </c>
      <c r="C51">
        <f t="shared" si="1"/>
        <v>2004</v>
      </c>
      <c r="D51">
        <v>1.9138612517314868</v>
      </c>
      <c r="E51">
        <v>2451.6916161656859</v>
      </c>
      <c r="F51">
        <v>2.0499999999999998</v>
      </c>
      <c r="G51">
        <v>11.079450217901442</v>
      </c>
      <c r="H51">
        <v>13.258464632919878</v>
      </c>
      <c r="I51">
        <v>68.92390211196782</v>
      </c>
      <c r="J51">
        <v>20.7</v>
      </c>
      <c r="K51">
        <v>61.928859862190407</v>
      </c>
      <c r="L51">
        <v>41.7</v>
      </c>
      <c r="M51" s="2">
        <v>6.7765617000000002</v>
      </c>
      <c r="N51">
        <v>2.5859999999999999</v>
      </c>
      <c r="O51" s="4">
        <v>240.67920000000001</v>
      </c>
      <c r="P51">
        <v>20.627348650417545</v>
      </c>
    </row>
    <row r="52" spans="2:16" x14ac:dyDescent="0.3">
      <c r="B52" t="s">
        <v>2</v>
      </c>
      <c r="C52">
        <f t="shared" si="1"/>
        <v>2005</v>
      </c>
      <c r="D52">
        <v>2.0368488614784512</v>
      </c>
      <c r="E52">
        <v>3878.3120673524431</v>
      </c>
      <c r="F52">
        <v>2.35</v>
      </c>
      <c r="G52">
        <v>10.759827963479966</v>
      </c>
      <c r="H52">
        <v>14.31374028521844</v>
      </c>
      <c r="I52">
        <v>65.992605447823138</v>
      </c>
      <c r="J52">
        <v>19.399999999999999</v>
      </c>
      <c r="K52">
        <v>44.759898925110264</v>
      </c>
      <c r="L52">
        <v>39</v>
      </c>
      <c r="M52" s="2">
        <v>6.8544296999999998</v>
      </c>
      <c r="N52">
        <v>9.4320000000000004</v>
      </c>
      <c r="O52" s="4">
        <v>342.92673000000002</v>
      </c>
      <c r="P52">
        <v>24.773071145931944</v>
      </c>
    </row>
    <row r="53" spans="2:16" x14ac:dyDescent="0.3">
      <c r="B53" t="s">
        <v>2</v>
      </c>
      <c r="C53">
        <f t="shared" si="1"/>
        <v>2006</v>
      </c>
      <c r="D53">
        <v>2.2030828429332772</v>
      </c>
      <c r="E53">
        <v>4055.1427034737112</v>
      </c>
      <c r="F53">
        <v>2.11</v>
      </c>
      <c r="G53">
        <v>13.918736212908275</v>
      </c>
      <c r="H53">
        <v>12.552479897530777</v>
      </c>
      <c r="I53">
        <v>60.670319504732085</v>
      </c>
      <c r="J53">
        <v>18</v>
      </c>
      <c r="K53">
        <v>49.588395613748773</v>
      </c>
      <c r="L53">
        <v>41.2</v>
      </c>
      <c r="M53" s="2">
        <v>7.0122150000000003</v>
      </c>
      <c r="N53">
        <v>9.1709999999999994</v>
      </c>
      <c r="O53" s="4">
        <v>409.74313000000001</v>
      </c>
      <c r="P53">
        <v>26.926871500310835</v>
      </c>
    </row>
    <row r="54" spans="2:16" x14ac:dyDescent="0.3">
      <c r="B54" t="s">
        <v>2</v>
      </c>
      <c r="C54">
        <f t="shared" si="1"/>
        <v>2007</v>
      </c>
      <c r="D54">
        <v>2.1949292159255336</v>
      </c>
      <c r="E54">
        <v>4649.6455887581378</v>
      </c>
      <c r="F54">
        <v>1.94</v>
      </c>
      <c r="G54">
        <v>14.297554910899295</v>
      </c>
      <c r="H54">
        <v>11.603812681309574</v>
      </c>
      <c r="I54">
        <v>57.466500897914074</v>
      </c>
      <c r="J54">
        <v>17.899999999999999</v>
      </c>
      <c r="K54">
        <v>47.212063069885495</v>
      </c>
      <c r="L54">
        <v>38.6</v>
      </c>
      <c r="M54" s="2">
        <v>7.17</v>
      </c>
      <c r="N54">
        <v>7.4180000000000001</v>
      </c>
      <c r="O54" s="4">
        <v>455.31279999999998</v>
      </c>
      <c r="P54">
        <v>27.633419458594378</v>
      </c>
    </row>
    <row r="55" spans="2:16" x14ac:dyDescent="0.3">
      <c r="B55" t="s">
        <v>2</v>
      </c>
      <c r="C55">
        <f t="shared" si="1"/>
        <v>2008</v>
      </c>
      <c r="D55">
        <v>2.1644331582251577</v>
      </c>
      <c r="E55">
        <v>5023.5851340351546</v>
      </c>
      <c r="F55">
        <v>1.67</v>
      </c>
      <c r="G55">
        <v>14.041237113402062</v>
      </c>
      <c r="H55">
        <v>9.5051546391752577</v>
      </c>
      <c r="I55">
        <v>59.065292096219935</v>
      </c>
      <c r="J55">
        <v>17.7</v>
      </c>
      <c r="K55">
        <v>47.287007933288329</v>
      </c>
      <c r="L55">
        <v>37.799999999999997</v>
      </c>
      <c r="M55" s="2">
        <v>7.193333</v>
      </c>
      <c r="N55">
        <v>3.2679999999999998</v>
      </c>
      <c r="O55" s="4">
        <v>611.72064</v>
      </c>
      <c r="P55">
        <v>29.89821158078686</v>
      </c>
    </row>
    <row r="56" spans="2:16" x14ac:dyDescent="0.3">
      <c r="B56" t="s">
        <v>2</v>
      </c>
      <c r="C56">
        <f t="shared" si="1"/>
        <v>2009</v>
      </c>
      <c r="D56">
        <v>2.0464732010935238</v>
      </c>
      <c r="E56">
        <v>4973.951869999516</v>
      </c>
      <c r="F56">
        <v>1.8</v>
      </c>
      <c r="G56">
        <v>14.13631709814246</v>
      </c>
      <c r="H56">
        <v>10.633318707035249</v>
      </c>
      <c r="I56">
        <v>58.183413777972795</v>
      </c>
      <c r="J56">
        <v>17.3</v>
      </c>
      <c r="K56">
        <v>36.867701900399098</v>
      </c>
      <c r="L56">
        <v>38.700000000000003</v>
      </c>
      <c r="M56" s="2">
        <v>7.2166667000000002</v>
      </c>
      <c r="N56">
        <v>1.0029999999999999</v>
      </c>
      <c r="O56" s="4">
        <v>387.89992999999998</v>
      </c>
      <c r="P56">
        <v>23.372210635529868</v>
      </c>
    </row>
    <row r="57" spans="2:16" x14ac:dyDescent="0.3">
      <c r="B57" t="s">
        <v>2</v>
      </c>
      <c r="C57">
        <f t="shared" si="1"/>
        <v>2010</v>
      </c>
      <c r="D57">
        <v>2.1310923685168546</v>
      </c>
      <c r="E57">
        <v>5478.6247039895425</v>
      </c>
      <c r="F57">
        <v>1.67</v>
      </c>
      <c r="G57">
        <v>12.606299748282195</v>
      </c>
      <c r="H57">
        <v>9.6401115722157975</v>
      </c>
      <c r="I57">
        <v>54.296210626573242</v>
      </c>
      <c r="J57">
        <v>16.899999999999999</v>
      </c>
      <c r="K57">
        <v>41.343056713528483</v>
      </c>
      <c r="L57">
        <v>36.5</v>
      </c>
      <c r="M57" s="2">
        <v>7.24</v>
      </c>
      <c r="N57">
        <v>8.4009999999999998</v>
      </c>
      <c r="O57" s="4">
        <v>500.01101999999997</v>
      </c>
      <c r="P57">
        <v>26.071421834617848</v>
      </c>
    </row>
    <row r="58" spans="2:16" x14ac:dyDescent="0.3">
      <c r="B58" t="s">
        <v>2</v>
      </c>
      <c r="C58">
        <f t="shared" si="1"/>
        <v>2011</v>
      </c>
      <c r="D58">
        <v>2.1242916857579837</v>
      </c>
      <c r="E58">
        <v>5826.5101410919451</v>
      </c>
      <c r="F58">
        <v>1.77</v>
      </c>
      <c r="G58">
        <v>12.759170653907494</v>
      </c>
      <c r="H58">
        <v>9.6650717703349276</v>
      </c>
      <c r="I58">
        <v>54.960127591706545</v>
      </c>
      <c r="J58">
        <v>16.8</v>
      </c>
      <c r="K58">
        <v>44.69676790592063</v>
      </c>
      <c r="L58">
        <v>37.5</v>
      </c>
      <c r="M58" s="2">
        <v>7.33</v>
      </c>
      <c r="N58">
        <v>3.1920000000000002</v>
      </c>
      <c r="O58" s="4">
        <v>699.77544999999998</v>
      </c>
      <c r="P58">
        <v>24.603323690551882</v>
      </c>
    </row>
    <row r="59" spans="2:16" x14ac:dyDescent="0.3">
      <c r="B59" t="s">
        <v>2</v>
      </c>
      <c r="C59">
        <f t="shared" si="1"/>
        <v>2012</v>
      </c>
      <c r="D59">
        <v>2.1731883634143632</v>
      </c>
      <c r="E59">
        <v>6013.819650026031</v>
      </c>
      <c r="F59">
        <v>2.1</v>
      </c>
      <c r="G59">
        <v>12.615073944289362</v>
      </c>
      <c r="H59">
        <v>10.595711825146997</v>
      </c>
      <c r="I59">
        <v>54.58810952069846</v>
      </c>
      <c r="J59">
        <v>16.5</v>
      </c>
      <c r="K59">
        <v>44.265647309626161</v>
      </c>
      <c r="L59">
        <v>36</v>
      </c>
      <c r="M59" s="2">
        <v>7.43</v>
      </c>
      <c r="N59">
        <v>2.7759999999999998</v>
      </c>
      <c r="O59" s="4">
        <v>702.38007000000005</v>
      </c>
      <c r="P59">
        <v>23.752559716089277</v>
      </c>
    </row>
    <row r="60" spans="2:16" x14ac:dyDescent="0.3">
      <c r="B60" t="s">
        <v>2</v>
      </c>
      <c r="C60">
        <f t="shared" si="1"/>
        <v>2013</v>
      </c>
      <c r="D60">
        <v>2.1075389404554694</v>
      </c>
      <c r="E60">
        <v>6136.5942932930147</v>
      </c>
      <c r="F60">
        <v>2.4300000000000002</v>
      </c>
      <c r="G60">
        <v>12.55099728014506</v>
      </c>
      <c r="H60">
        <v>10.624433363553944</v>
      </c>
      <c r="I60">
        <v>49.716681776971896</v>
      </c>
      <c r="J60">
        <v>16.600000000000001</v>
      </c>
      <c r="K60">
        <v>42.400804112957786</v>
      </c>
      <c r="L60">
        <v>37.9</v>
      </c>
      <c r="M60" s="2">
        <v>7.52</v>
      </c>
      <c r="N60">
        <v>4.9349999999999996</v>
      </c>
      <c r="O60" s="4">
        <v>683.44029999999998</v>
      </c>
      <c r="P60">
        <v>22.105761278366664</v>
      </c>
    </row>
    <row r="61" spans="2:16" x14ac:dyDescent="0.3">
      <c r="B61" t="s">
        <v>2</v>
      </c>
      <c r="C61">
        <f t="shared" si="1"/>
        <v>2014</v>
      </c>
      <c r="D61">
        <v>2.1037216902518225</v>
      </c>
      <c r="E61">
        <v>6496.4516697114186</v>
      </c>
      <c r="F61">
        <v>1.8</v>
      </c>
      <c r="G61">
        <v>14.125939302149474</v>
      </c>
      <c r="H61">
        <v>7.403739733209064</v>
      </c>
      <c r="I61">
        <v>51.575697559270694</v>
      </c>
      <c r="J61">
        <v>17.3</v>
      </c>
      <c r="K61">
        <v>40.546552304707731</v>
      </c>
      <c r="L61">
        <v>33.4</v>
      </c>
      <c r="M61" s="2">
        <v>7.65</v>
      </c>
      <c r="N61">
        <v>7.1109999999999998</v>
      </c>
      <c r="O61" s="4">
        <v>622.35059999999999</v>
      </c>
      <c r="P61">
        <v>22.394607608416905</v>
      </c>
    </row>
    <row r="62" spans="2:16" x14ac:dyDescent="0.3">
      <c r="B62" t="s">
        <v>2</v>
      </c>
      <c r="C62">
        <f t="shared" si="1"/>
        <v>2015</v>
      </c>
      <c r="D62">
        <v>2.2878956617305373</v>
      </c>
      <c r="E62">
        <v>6800.9530939547358</v>
      </c>
      <c r="F62">
        <v>1.39</v>
      </c>
      <c r="G62">
        <v>12.905925677937729</v>
      </c>
      <c r="H62">
        <v>5.2728490123870104</v>
      </c>
      <c r="I62">
        <v>55.719227764758394</v>
      </c>
      <c r="J62">
        <v>14.9</v>
      </c>
      <c r="K62">
        <v>37.128638279612773</v>
      </c>
      <c r="L62">
        <v>34.799999999999997</v>
      </c>
      <c r="M62" s="2">
        <v>7.72</v>
      </c>
      <c r="N62">
        <v>6.9880000000000004</v>
      </c>
      <c r="O62" s="4">
        <v>329.50225999999998</v>
      </c>
      <c r="P62">
        <v>22.650690723218716</v>
      </c>
    </row>
    <row r="63" spans="2:16" x14ac:dyDescent="0.3">
      <c r="B63" t="s">
        <v>2</v>
      </c>
      <c r="C63">
        <f t="shared" si="1"/>
        <v>2016</v>
      </c>
      <c r="D63">
        <v>2.3571591717899851</v>
      </c>
      <c r="E63">
        <v>7160.4420098230748</v>
      </c>
      <c r="F63">
        <v>1.93</v>
      </c>
      <c r="G63">
        <v>12.621722846441946</v>
      </c>
      <c r="H63">
        <v>8.1273408239700373</v>
      </c>
      <c r="I63">
        <v>56.260032102728729</v>
      </c>
      <c r="J63">
        <v>15.3</v>
      </c>
      <c r="K63">
        <v>36.052883542195538</v>
      </c>
      <c r="L63">
        <v>35.4</v>
      </c>
      <c r="M63" s="2">
        <v>9.0399999999999991</v>
      </c>
      <c r="N63">
        <v>6.72</v>
      </c>
      <c r="O63" s="4">
        <v>275.07916</v>
      </c>
      <c r="P63">
        <v>22.172865270536427</v>
      </c>
    </row>
    <row r="64" spans="2:16" x14ac:dyDescent="0.3">
      <c r="B64" t="s">
        <v>2</v>
      </c>
      <c r="C64">
        <f t="shared" si="1"/>
        <v>2017</v>
      </c>
      <c r="D64">
        <v>2.2301537577706916</v>
      </c>
      <c r="E64">
        <v>7412.7157157151169</v>
      </c>
      <c r="F64">
        <v>2.75</v>
      </c>
      <c r="G64">
        <v>12.644463122504728</v>
      </c>
      <c r="H64">
        <v>11.536036982559361</v>
      </c>
      <c r="I64">
        <v>43.349443160327802</v>
      </c>
      <c r="J64">
        <v>16.899999999999999</v>
      </c>
      <c r="K64">
        <v>35.245862102444228</v>
      </c>
      <c r="L64">
        <v>33.5</v>
      </c>
      <c r="M64" s="2">
        <v>8.9818269999999991</v>
      </c>
      <c r="N64">
        <v>3.9340000000000002</v>
      </c>
      <c r="O64" s="4">
        <v>340.85962000000001</v>
      </c>
      <c r="P64">
        <v>21.180920628541848</v>
      </c>
    </row>
    <row r="65" spans="2:16" x14ac:dyDescent="0.3">
      <c r="B65" t="s">
        <v>2</v>
      </c>
      <c r="C65">
        <f t="shared" si="1"/>
        <v>2018</v>
      </c>
      <c r="D65">
        <v>2.3769684678789837</v>
      </c>
      <c r="E65">
        <v>7882.9822158494371</v>
      </c>
      <c r="F65">
        <v>2.41</v>
      </c>
      <c r="G65">
        <v>11.622818177192</v>
      </c>
      <c r="H65">
        <v>9.0529744033382524</v>
      </c>
      <c r="I65">
        <v>50.44018116126405</v>
      </c>
      <c r="J65">
        <v>15.9</v>
      </c>
      <c r="K65">
        <v>36.278718994134692</v>
      </c>
      <c r="L65">
        <v>35.1</v>
      </c>
      <c r="M65" s="2">
        <v>8.9236540000000009</v>
      </c>
      <c r="N65">
        <v>7.0979999999999999</v>
      </c>
      <c r="O65" s="4">
        <v>448.52600000000001</v>
      </c>
      <c r="P65">
        <v>25.202290822076716</v>
      </c>
    </row>
    <row r="66" spans="2:16" x14ac:dyDescent="0.3">
      <c r="B66" t="s">
        <v>2</v>
      </c>
      <c r="C66">
        <f t="shared" si="1"/>
        <v>2019</v>
      </c>
      <c r="D66">
        <v>2.6125745969609264</v>
      </c>
      <c r="E66">
        <v>8183.0162360037493</v>
      </c>
      <c r="F66">
        <v>2.08</v>
      </c>
      <c r="G66">
        <v>16.802679371668475</v>
      </c>
      <c r="H66">
        <v>6.1229303269022122</v>
      </c>
      <c r="I66">
        <v>44.79928298504646</v>
      </c>
      <c r="J66">
        <v>14.4</v>
      </c>
      <c r="K66">
        <v>35.291492448607855</v>
      </c>
      <c r="L66">
        <v>33.1</v>
      </c>
      <c r="M66" s="2">
        <v>8.8654799999999998</v>
      </c>
      <c r="N66">
        <v>4.8940000000000001</v>
      </c>
      <c r="O66" s="4">
        <v>403.87164000000001</v>
      </c>
      <c r="P66">
        <v>25.234862379461326</v>
      </c>
    </row>
    <row r="67" spans="2:16" x14ac:dyDescent="0.3">
      <c r="B67" t="s">
        <v>2</v>
      </c>
      <c r="C67">
        <f t="shared" si="1"/>
        <v>2020</v>
      </c>
      <c r="D67">
        <v>2.445972584322738</v>
      </c>
      <c r="E67">
        <v>7135.2227325589856</v>
      </c>
      <c r="F67">
        <v>2.83</v>
      </c>
      <c r="G67">
        <v>30.618107206976148</v>
      </c>
      <c r="H67">
        <v>8.0738650936137475</v>
      </c>
      <c r="I67">
        <v>21.149012567324952</v>
      </c>
      <c r="J67">
        <v>16</v>
      </c>
      <c r="K67">
        <v>34.892630279799292</v>
      </c>
      <c r="L67">
        <v>30.4</v>
      </c>
      <c r="M67" s="2">
        <v>9.1504239999999992</v>
      </c>
      <c r="N67">
        <v>-7.9290000000000003</v>
      </c>
      <c r="O67" s="4">
        <v>263.15481999999997</v>
      </c>
      <c r="P67">
        <v>24.87951591545696</v>
      </c>
    </row>
    <row r="68" spans="2:16" x14ac:dyDescent="0.3">
      <c r="B68" t="s">
        <v>2</v>
      </c>
      <c r="C68">
        <f t="shared" si="1"/>
        <v>2021</v>
      </c>
      <c r="D68">
        <v>2.6671608766899841</v>
      </c>
      <c r="E68">
        <v>8527.0754858205019</v>
      </c>
      <c r="F68">
        <v>2.98</v>
      </c>
      <c r="G68">
        <v>26.930267339689664</v>
      </c>
      <c r="H68">
        <v>8.6838661432043374</v>
      </c>
      <c r="I68">
        <v>19.377453729669096</v>
      </c>
      <c r="J68">
        <v>14.8</v>
      </c>
      <c r="K68">
        <v>38.764070728553072</v>
      </c>
      <c r="L68">
        <v>30.2</v>
      </c>
      <c r="M68" s="2">
        <v>9.4445259999999998</v>
      </c>
      <c r="N68">
        <v>14.012</v>
      </c>
      <c r="O68" s="4">
        <v>446.02163999999999</v>
      </c>
      <c r="P68">
        <v>30.27496354600958</v>
      </c>
    </row>
    <row r="69" spans="2:16" x14ac:dyDescent="0.3">
      <c r="B69" t="s">
        <v>3</v>
      </c>
      <c r="C69">
        <v>2000</v>
      </c>
      <c r="D69">
        <v>12.757116218141212</v>
      </c>
      <c r="E69">
        <v>4070.6090241020797</v>
      </c>
      <c r="F69">
        <v>0.01</v>
      </c>
      <c r="G69">
        <v>92.129684012686468</v>
      </c>
      <c r="H69">
        <v>5.8733701397862097E-2</v>
      </c>
      <c r="I69">
        <v>0.65781745565605543</v>
      </c>
      <c r="J69">
        <v>19.8</v>
      </c>
      <c r="K69">
        <v>156.19230529299725</v>
      </c>
      <c r="L69">
        <v>27.6</v>
      </c>
      <c r="M69" s="3">
        <v>12.18</v>
      </c>
      <c r="N69">
        <v>10.087999999999999</v>
      </c>
      <c r="O69" s="4">
        <v>179.23068000000001</v>
      </c>
      <c r="P69">
        <v>28.476103210732305</v>
      </c>
    </row>
    <row r="70" spans="2:16" x14ac:dyDescent="0.3">
      <c r="B70" t="s">
        <v>3</v>
      </c>
      <c r="C70">
        <v>2001</v>
      </c>
      <c r="D70">
        <v>13.146173047622135</v>
      </c>
      <c r="E70">
        <v>4502.6661499239171</v>
      </c>
      <c r="F70">
        <v>0.01</v>
      </c>
      <c r="G70">
        <v>92.255098432158434</v>
      </c>
      <c r="H70">
        <v>8.2517977130732056E-2</v>
      </c>
      <c r="I70">
        <v>0.47153129788989739</v>
      </c>
      <c r="J70">
        <v>18.899999999999999</v>
      </c>
      <c r="K70">
        <v>147.91483072688965</v>
      </c>
      <c r="L70">
        <v>27.9</v>
      </c>
      <c r="M70" s="3">
        <v>12.35</v>
      </c>
      <c r="N70">
        <v>5.8810000000000002</v>
      </c>
      <c r="O70" s="4">
        <v>153.74719999999999</v>
      </c>
      <c r="P70">
        <v>29.602632094927056</v>
      </c>
    </row>
    <row r="71" spans="2:16" x14ac:dyDescent="0.3">
      <c r="B71" t="s">
        <v>3</v>
      </c>
      <c r="C71">
        <f>C70+1</f>
        <v>2002</v>
      </c>
      <c r="D71">
        <v>12.700764853010474</v>
      </c>
      <c r="E71">
        <v>5343.1831076073477</v>
      </c>
      <c r="F71">
        <v>0.01</v>
      </c>
      <c r="G71">
        <v>93.127711973730499</v>
      </c>
      <c r="H71">
        <v>7.0364723818459013E-2</v>
      </c>
      <c r="I71">
        <v>0.31664125718306557</v>
      </c>
      <c r="J71">
        <v>19.3</v>
      </c>
      <c r="K71">
        <v>138.38309995736665</v>
      </c>
      <c r="L71">
        <v>27.3</v>
      </c>
      <c r="M71" s="3">
        <v>12.52</v>
      </c>
      <c r="N71">
        <v>6.9329999999999998</v>
      </c>
      <c r="O71" s="4">
        <v>157.39127999999999</v>
      </c>
      <c r="P71">
        <v>32.930765754666922</v>
      </c>
    </row>
    <row r="72" spans="2:16" x14ac:dyDescent="0.3">
      <c r="B72" t="s">
        <v>3</v>
      </c>
      <c r="C72">
        <f t="shared" ref="C72:C90" si="2">C71+1</f>
        <v>2003</v>
      </c>
      <c r="D72">
        <v>14.26578732345045</v>
      </c>
      <c r="E72">
        <v>7205.4070331324301</v>
      </c>
      <c r="F72">
        <v>0.03</v>
      </c>
      <c r="G72">
        <v>94.162811300324833</v>
      </c>
      <c r="H72">
        <v>0.12796535092036618</v>
      </c>
      <c r="I72">
        <v>0.39373954129343436</v>
      </c>
      <c r="J72">
        <v>19.899999999999999</v>
      </c>
      <c r="K72">
        <v>137.58789616167809</v>
      </c>
      <c r="L72">
        <v>28.4</v>
      </c>
      <c r="M72" s="3">
        <v>12.690001000000001</v>
      </c>
      <c r="N72">
        <v>7.5960000000000001</v>
      </c>
      <c r="O72" s="4">
        <v>181.33936</v>
      </c>
      <c r="P72">
        <v>35.188030063407822</v>
      </c>
    </row>
    <row r="73" spans="2:16" x14ac:dyDescent="0.3">
      <c r="B73" t="s">
        <v>3</v>
      </c>
      <c r="C73">
        <f t="shared" si="2"/>
        <v>2004</v>
      </c>
      <c r="D73">
        <v>14.71182708891417</v>
      </c>
      <c r="E73">
        <v>8916.0728274602043</v>
      </c>
      <c r="F73">
        <v>0.05</v>
      </c>
      <c r="G73">
        <v>94.283773291925471</v>
      </c>
      <c r="H73">
        <v>0.21350931677018634</v>
      </c>
      <c r="I73">
        <v>0.40760869565217389</v>
      </c>
      <c r="J73">
        <v>20</v>
      </c>
      <c r="K73">
        <v>117.4456796323047</v>
      </c>
      <c r="L73">
        <v>25.9</v>
      </c>
      <c r="M73" s="3">
        <v>12.86</v>
      </c>
      <c r="N73">
        <v>6.8010000000000002</v>
      </c>
      <c r="O73" s="4">
        <v>240.67920000000001</v>
      </c>
      <c r="P73">
        <v>34.648854929829064</v>
      </c>
    </row>
    <row r="74" spans="2:16" x14ac:dyDescent="0.3">
      <c r="B74" t="s">
        <v>3</v>
      </c>
      <c r="C74">
        <f t="shared" si="2"/>
        <v>2005</v>
      </c>
      <c r="D74">
        <v>14.81345610894798</v>
      </c>
      <c r="E74">
        <v>10414.638118356492</v>
      </c>
      <c r="F74">
        <v>0.12</v>
      </c>
      <c r="G74">
        <v>93.268005879470849</v>
      </c>
      <c r="H74">
        <v>0.21558059774620281</v>
      </c>
      <c r="I74">
        <v>0.3135717785399314</v>
      </c>
      <c r="J74">
        <v>18.899999999999999</v>
      </c>
      <c r="K74">
        <v>127.24767708477114</v>
      </c>
      <c r="L74">
        <v>26.1</v>
      </c>
      <c r="M74" s="3">
        <v>13.03</v>
      </c>
      <c r="N74">
        <v>9.5229999999999997</v>
      </c>
      <c r="O74" s="4">
        <v>342.92673000000002</v>
      </c>
      <c r="P74">
        <v>33.35083816038194</v>
      </c>
    </row>
    <row r="75" spans="2:16" x14ac:dyDescent="0.3">
      <c r="B75" t="s">
        <v>3</v>
      </c>
      <c r="C75">
        <f t="shared" si="2"/>
        <v>2006</v>
      </c>
      <c r="D75">
        <v>14.428538546639839</v>
      </c>
      <c r="E75">
        <v>12641.480097647316</v>
      </c>
      <c r="F75">
        <v>0.14000000000000001</v>
      </c>
      <c r="G75">
        <v>92.817509247842167</v>
      </c>
      <c r="H75">
        <v>0.14385532264693796</v>
      </c>
      <c r="I75">
        <v>0.30826140567200988</v>
      </c>
      <c r="J75">
        <v>17.2</v>
      </c>
      <c r="K75">
        <v>135.91827833767823</v>
      </c>
      <c r="L75">
        <v>26.8</v>
      </c>
      <c r="M75" s="3">
        <v>13.2</v>
      </c>
      <c r="N75">
        <v>9.7629999999999999</v>
      </c>
      <c r="O75" s="4">
        <v>409.74313000000001</v>
      </c>
      <c r="P75">
        <v>39.825687746879176</v>
      </c>
    </row>
    <row r="76" spans="2:16" x14ac:dyDescent="0.3">
      <c r="B76" t="s">
        <v>3</v>
      </c>
      <c r="C76">
        <f t="shared" si="2"/>
        <v>2007</v>
      </c>
      <c r="D76">
        <v>17.180609839782797</v>
      </c>
      <c r="E76">
        <v>16745.430801114762</v>
      </c>
      <c r="F76">
        <v>0.15</v>
      </c>
      <c r="G76">
        <v>95.709598031173087</v>
      </c>
      <c r="H76">
        <v>0.17227235438884331</v>
      </c>
      <c r="I76">
        <v>0.27891714520098443</v>
      </c>
      <c r="J76">
        <v>18.600000000000001</v>
      </c>
      <c r="K76">
        <v>118.87165247656668</v>
      </c>
      <c r="L76">
        <v>24</v>
      </c>
      <c r="M76" s="3">
        <v>13.22</v>
      </c>
      <c r="N76">
        <v>7.5709999999999997</v>
      </c>
      <c r="O76" s="4">
        <v>455.31279999999998</v>
      </c>
      <c r="P76">
        <v>40.005894344544679</v>
      </c>
    </row>
    <row r="77" spans="2:16" x14ac:dyDescent="0.3">
      <c r="B77" t="s">
        <v>3</v>
      </c>
      <c r="C77">
        <f t="shared" si="2"/>
        <v>2008</v>
      </c>
      <c r="D77">
        <v>15.616600228855203</v>
      </c>
      <c r="E77">
        <v>18205.906411344597</v>
      </c>
      <c r="F77">
        <v>0.25</v>
      </c>
      <c r="G77">
        <v>93.790757017295164</v>
      </c>
      <c r="H77">
        <v>0.26462527171344863</v>
      </c>
      <c r="I77">
        <v>0.34968339476420002</v>
      </c>
      <c r="J77">
        <v>20.5</v>
      </c>
      <c r="K77">
        <v>117.01136090535837</v>
      </c>
      <c r="L77">
        <v>24.9</v>
      </c>
      <c r="M77" s="3">
        <v>13.25</v>
      </c>
      <c r="N77">
        <v>-5.125</v>
      </c>
      <c r="O77" s="4">
        <v>611.72064</v>
      </c>
      <c r="P77">
        <v>31.633405584309266</v>
      </c>
    </row>
    <row r="78" spans="2:16" x14ac:dyDescent="0.3">
      <c r="B78" t="s">
        <v>3</v>
      </c>
      <c r="C78">
        <f t="shared" si="2"/>
        <v>2009</v>
      </c>
      <c r="D78">
        <v>13.067593844954908</v>
      </c>
      <c r="E78">
        <v>14712.449421791631</v>
      </c>
      <c r="F78">
        <v>0.44</v>
      </c>
      <c r="G78">
        <v>92.09477161407905</v>
      </c>
      <c r="H78">
        <v>0.36450620799635491</v>
      </c>
      <c r="I78">
        <v>0.51258685499487411</v>
      </c>
      <c r="J78">
        <v>24.2</v>
      </c>
      <c r="K78">
        <v>97.728507723522057</v>
      </c>
      <c r="L78">
        <v>24.4</v>
      </c>
      <c r="M78" s="3">
        <v>13.32</v>
      </c>
      <c r="N78">
        <v>-14.63</v>
      </c>
      <c r="O78" s="4">
        <v>387.89992999999998</v>
      </c>
      <c r="P78">
        <v>21.008775349827367</v>
      </c>
    </row>
    <row r="79" spans="2:16" x14ac:dyDescent="0.3">
      <c r="B79" t="s">
        <v>3</v>
      </c>
      <c r="C79">
        <f t="shared" si="2"/>
        <v>2010</v>
      </c>
      <c r="D79">
        <v>16.684954655551174</v>
      </c>
      <c r="E79">
        <v>14663.70410187046</v>
      </c>
      <c r="F79">
        <v>0.44</v>
      </c>
      <c r="G79">
        <v>89.293427954335087</v>
      </c>
      <c r="H79">
        <v>0.20826905276149338</v>
      </c>
      <c r="I79">
        <v>0.31626041345263806</v>
      </c>
      <c r="J79">
        <v>25.3</v>
      </c>
      <c r="K79">
        <v>122.29853169296867</v>
      </c>
      <c r="L79">
        <v>24.3</v>
      </c>
      <c r="M79" s="3">
        <v>13.33</v>
      </c>
      <c r="N79">
        <v>2.4500000000000002</v>
      </c>
      <c r="O79" s="4">
        <v>500.01101999999997</v>
      </c>
      <c r="P79">
        <v>21.587678165560355</v>
      </c>
    </row>
    <row r="80" spans="2:16" x14ac:dyDescent="0.3">
      <c r="B80" t="s">
        <v>3</v>
      </c>
      <c r="C80">
        <f t="shared" si="2"/>
        <v>2011</v>
      </c>
      <c r="D80">
        <v>16.826083910447107</v>
      </c>
      <c r="E80">
        <v>17555.545523942612</v>
      </c>
      <c r="F80">
        <v>0.6</v>
      </c>
      <c r="G80">
        <v>88.582951989451644</v>
      </c>
      <c r="H80">
        <v>0.23268440238889318</v>
      </c>
      <c r="I80">
        <v>0.33351431009074689</v>
      </c>
      <c r="J80">
        <v>25.2</v>
      </c>
      <c r="K80">
        <v>146.61913603244074</v>
      </c>
      <c r="L80">
        <v>24.7</v>
      </c>
      <c r="M80" s="3">
        <v>13.4</v>
      </c>
      <c r="N80">
        <v>7.6070000000000002</v>
      </c>
      <c r="O80" s="4">
        <v>699.77544999999998</v>
      </c>
      <c r="P80">
        <v>25.468166404718424</v>
      </c>
    </row>
    <row r="81" spans="2:16" x14ac:dyDescent="0.3">
      <c r="B81" t="s">
        <v>3</v>
      </c>
      <c r="C81">
        <f t="shared" si="2"/>
        <v>2012</v>
      </c>
      <c r="D81">
        <v>16.050626901419527</v>
      </c>
      <c r="E81">
        <v>17568.213796971362</v>
      </c>
      <c r="F81">
        <v>0.78</v>
      </c>
      <c r="G81">
        <v>86.120163783738619</v>
      </c>
      <c r="H81">
        <v>0.35096515417397844</v>
      </c>
      <c r="I81">
        <v>0.48466616528787498</v>
      </c>
      <c r="J81">
        <v>25</v>
      </c>
      <c r="K81">
        <v>147.05600026452404</v>
      </c>
      <c r="L81">
        <v>25.2</v>
      </c>
      <c r="M81" s="3">
        <v>13.45</v>
      </c>
      <c r="N81">
        <v>3.6720000000000002</v>
      </c>
      <c r="O81" s="4">
        <v>702.38007000000005</v>
      </c>
      <c r="P81">
        <v>29.080506690078529</v>
      </c>
    </row>
    <row r="82" spans="2:16" x14ac:dyDescent="0.3">
      <c r="B82" t="s">
        <v>3</v>
      </c>
      <c r="C82">
        <f t="shared" si="2"/>
        <v>2013</v>
      </c>
      <c r="D82">
        <v>17.933728225481548</v>
      </c>
      <c r="E82">
        <v>19310.387490075718</v>
      </c>
      <c r="F82">
        <v>0.82</v>
      </c>
      <c r="G82">
        <v>88.69303201506591</v>
      </c>
      <c r="H82">
        <v>0.19585687382297551</v>
      </c>
      <c r="I82">
        <v>0.99435028248587576</v>
      </c>
      <c r="J82">
        <v>24.5</v>
      </c>
      <c r="K82">
        <v>136.67028878411179</v>
      </c>
      <c r="L82">
        <v>26.6</v>
      </c>
      <c r="M82" s="3">
        <v>13.54</v>
      </c>
      <c r="N82">
        <v>1.7569999999999999</v>
      </c>
      <c r="O82" s="4">
        <v>683.44029999999998</v>
      </c>
      <c r="P82">
        <v>26.869712106481419</v>
      </c>
    </row>
    <row r="83" spans="2:16" x14ac:dyDescent="0.3">
      <c r="B83" t="s">
        <v>3</v>
      </c>
      <c r="C83">
        <f t="shared" si="2"/>
        <v>2014</v>
      </c>
      <c r="D83">
        <v>17.307433370481803</v>
      </c>
      <c r="E83">
        <v>20581.789899169544</v>
      </c>
      <c r="F83">
        <v>0.98</v>
      </c>
      <c r="G83">
        <v>87.353366543467786</v>
      </c>
      <c r="H83">
        <v>0.21693716856821468</v>
      </c>
      <c r="I83">
        <v>0.34549252771974931</v>
      </c>
      <c r="J83">
        <v>25.3</v>
      </c>
      <c r="K83">
        <v>126.91600644946675</v>
      </c>
      <c r="L83">
        <v>26.3</v>
      </c>
      <c r="M83" s="3">
        <v>13.44</v>
      </c>
      <c r="N83">
        <v>3.323</v>
      </c>
      <c r="O83" s="4">
        <v>622.35059999999999</v>
      </c>
      <c r="P83">
        <v>26.727615908802989</v>
      </c>
    </row>
    <row r="84" spans="2:16" x14ac:dyDescent="0.3">
      <c r="B84" t="s">
        <v>3</v>
      </c>
      <c r="C84">
        <f t="shared" si="2"/>
        <v>2015</v>
      </c>
      <c r="D84">
        <v>15.981517507509084</v>
      </c>
      <c r="E84">
        <v>17722.155766952314</v>
      </c>
      <c r="F84">
        <v>1.31</v>
      </c>
      <c r="G84">
        <v>82.765076862435947</v>
      </c>
      <c r="H84">
        <v>0.26606227828143475</v>
      </c>
      <c r="I84">
        <v>0.56168703192747338</v>
      </c>
      <c r="J84">
        <v>28.2</v>
      </c>
      <c r="K84">
        <v>117.35234500618917</v>
      </c>
      <c r="L84">
        <v>24.4</v>
      </c>
      <c r="M84" s="3">
        <v>13.49</v>
      </c>
      <c r="N84">
        <v>1.8380000000000001</v>
      </c>
      <c r="O84" s="4">
        <v>329.50225999999998</v>
      </c>
      <c r="P84">
        <v>24.640961101828886</v>
      </c>
    </row>
    <row r="85" spans="2:16" x14ac:dyDescent="0.3">
      <c r="B85" t="s">
        <v>3</v>
      </c>
      <c r="C85">
        <f t="shared" si="2"/>
        <v>2016</v>
      </c>
      <c r="D85">
        <v>15.646721741311303</v>
      </c>
      <c r="E85">
        <v>18666.373652170601</v>
      </c>
      <c r="F85">
        <v>0.91</v>
      </c>
      <c r="G85">
        <v>83.720930232558146</v>
      </c>
      <c r="H85">
        <v>0.28761607362971486</v>
      </c>
      <c r="I85">
        <v>2.0954885364450653</v>
      </c>
      <c r="J85">
        <v>27.2</v>
      </c>
      <c r="K85">
        <v>114.53103771978448</v>
      </c>
      <c r="L85">
        <v>23.1</v>
      </c>
      <c r="M85" s="3">
        <v>13.51</v>
      </c>
      <c r="N85">
        <v>3.093</v>
      </c>
      <c r="O85" s="4">
        <v>275.07916</v>
      </c>
      <c r="P85">
        <v>24.702353093716564</v>
      </c>
    </row>
    <row r="86" spans="2:16" x14ac:dyDescent="0.3">
      <c r="B86" t="s">
        <v>3</v>
      </c>
      <c r="C86">
        <f t="shared" si="2"/>
        <v>2017</v>
      </c>
      <c r="D86">
        <v>16.672967031632389</v>
      </c>
      <c r="E86">
        <v>20851.522349686096</v>
      </c>
      <c r="F86">
        <v>1.1200000000000001</v>
      </c>
      <c r="G86">
        <v>83.852583586626139</v>
      </c>
      <c r="H86">
        <v>0.19756838905775079</v>
      </c>
      <c r="I86">
        <v>0.91185410334346495</v>
      </c>
      <c r="J86">
        <v>27.5</v>
      </c>
      <c r="K86">
        <v>113.70080743467963</v>
      </c>
      <c r="L86">
        <v>22.5</v>
      </c>
      <c r="M86" s="3">
        <v>13.56</v>
      </c>
      <c r="N86">
        <v>5.6349999999999998</v>
      </c>
      <c r="O86" s="4">
        <v>340.85962000000001</v>
      </c>
      <c r="P86">
        <v>25.938197621092414</v>
      </c>
    </row>
    <row r="87" spans="2:16" x14ac:dyDescent="0.3">
      <c r="B87" t="s">
        <v>3</v>
      </c>
      <c r="C87">
        <f t="shared" si="2"/>
        <v>2018</v>
      </c>
      <c r="D87">
        <v>17.88896478531775</v>
      </c>
      <c r="E87">
        <v>23618.13612545807</v>
      </c>
      <c r="F87">
        <v>1.04</v>
      </c>
      <c r="G87">
        <v>81.988029763830468</v>
      </c>
      <c r="H87">
        <v>0.12131996117761241</v>
      </c>
      <c r="I87">
        <v>0.67130378518278877</v>
      </c>
      <c r="J87">
        <v>28.6</v>
      </c>
      <c r="K87">
        <v>115.80381545736617</v>
      </c>
      <c r="L87">
        <v>22.4</v>
      </c>
      <c r="M87" s="3">
        <v>13.66</v>
      </c>
      <c r="N87">
        <v>3.7</v>
      </c>
      <c r="O87" s="4">
        <v>448.52600000000001</v>
      </c>
      <c r="P87">
        <v>27.850399221256055</v>
      </c>
    </row>
    <row r="88" spans="2:16" x14ac:dyDescent="0.3">
      <c r="B88" t="s">
        <v>3</v>
      </c>
      <c r="C88">
        <f t="shared" si="2"/>
        <v>2019</v>
      </c>
      <c r="D88">
        <v>11.653420232753383</v>
      </c>
      <c r="E88">
        <v>24021.250141330624</v>
      </c>
      <c r="F88">
        <v>1.38</v>
      </c>
      <c r="G88">
        <v>70.151017728168085</v>
      </c>
      <c r="H88">
        <v>0.24950755088640839</v>
      </c>
      <c r="I88">
        <v>0.36769533814839134</v>
      </c>
      <c r="J88">
        <v>31.3</v>
      </c>
      <c r="K88">
        <v>107.06616358878473</v>
      </c>
      <c r="L88">
        <v>23.3</v>
      </c>
      <c r="M88" s="3">
        <v>13.605000499999999</v>
      </c>
      <c r="N88">
        <v>3.7269999999999999</v>
      </c>
      <c r="O88" s="4">
        <v>403.87164000000001</v>
      </c>
      <c r="P88">
        <v>26.356088071313977</v>
      </c>
    </row>
    <row r="89" spans="2:16" x14ac:dyDescent="0.3">
      <c r="B89" t="s">
        <v>3</v>
      </c>
      <c r="C89">
        <f t="shared" si="2"/>
        <v>2020</v>
      </c>
      <c r="D89">
        <v>9.125760987783579</v>
      </c>
      <c r="E89">
        <v>23933.993942106536</v>
      </c>
      <c r="F89">
        <v>2.15</v>
      </c>
      <c r="G89">
        <v>49.111549851924977</v>
      </c>
      <c r="H89">
        <v>0.4935834155972359</v>
      </c>
      <c r="I89">
        <v>0.34550839091806518</v>
      </c>
      <c r="J89">
        <v>40.4</v>
      </c>
      <c r="K89">
        <v>105.79253242321963</v>
      </c>
      <c r="L89">
        <v>23.5</v>
      </c>
      <c r="M89" s="3">
        <v>13.55</v>
      </c>
      <c r="N89">
        <v>-2.8839999999999999</v>
      </c>
      <c r="O89" s="4">
        <v>263.15481999999997</v>
      </c>
      <c r="P89">
        <v>29.653868768869156</v>
      </c>
    </row>
    <row r="90" spans="2:16" x14ac:dyDescent="0.3">
      <c r="B90" t="s">
        <v>3</v>
      </c>
      <c r="C90">
        <f t="shared" si="2"/>
        <v>2021</v>
      </c>
      <c r="D90">
        <v>9.7116907550498439</v>
      </c>
      <c r="E90">
        <v>27951.165927774426</v>
      </c>
      <c r="F90">
        <v>2.09</v>
      </c>
      <c r="G90">
        <v>57.676290949472516</v>
      </c>
      <c r="H90">
        <v>0.31926707384786229</v>
      </c>
      <c r="I90">
        <v>0.4997223764575236</v>
      </c>
      <c r="J90">
        <v>38</v>
      </c>
      <c r="K90">
        <v>121.42920122944855</v>
      </c>
      <c r="L90">
        <v>24.3</v>
      </c>
      <c r="M90" s="3">
        <v>13.562165999999999</v>
      </c>
      <c r="N90">
        <v>8.2550000000000008</v>
      </c>
      <c r="O90" s="4">
        <v>446.02163999999999</v>
      </c>
      <c r="P90">
        <v>30.94784959536695</v>
      </c>
    </row>
    <row r="91" spans="2:16" x14ac:dyDescent="0.3">
      <c r="B91" t="s">
        <v>4</v>
      </c>
      <c r="C91">
        <v>2000</v>
      </c>
      <c r="D91">
        <v>6.5803481793534502</v>
      </c>
      <c r="E91">
        <v>22340.593951621708</v>
      </c>
      <c r="F91">
        <v>45.29</v>
      </c>
      <c r="G91">
        <v>5.7153016738462901</v>
      </c>
      <c r="H91">
        <v>13.173899998888794</v>
      </c>
      <c r="I91">
        <v>1.3269648896017068</v>
      </c>
      <c r="J91">
        <v>9.3000000000000007</v>
      </c>
      <c r="K91">
        <v>48.976564758549713</v>
      </c>
      <c r="L91">
        <v>25</v>
      </c>
      <c r="M91" s="3">
        <v>9.4714290000000005</v>
      </c>
      <c r="N91">
        <v>4.3659999999999997</v>
      </c>
      <c r="O91" s="4">
        <v>179.23068000000001</v>
      </c>
      <c r="P91">
        <v>21.857877067340844</v>
      </c>
    </row>
    <row r="92" spans="2:16" x14ac:dyDescent="0.3">
      <c r="B92" t="s">
        <v>4</v>
      </c>
      <c r="C92">
        <v>2001</v>
      </c>
      <c r="D92">
        <v>6.599674270301807</v>
      </c>
      <c r="E92">
        <v>22331.794834303619</v>
      </c>
      <c r="F92">
        <v>44.64</v>
      </c>
      <c r="G92">
        <v>4.3493530835441199</v>
      </c>
      <c r="H92">
        <v>14.286936109038633</v>
      </c>
      <c r="I92">
        <v>1.0841992247920951</v>
      </c>
      <c r="J92">
        <v>9.4</v>
      </c>
      <c r="K92">
        <v>47.57721076260048</v>
      </c>
      <c r="L92">
        <v>25</v>
      </c>
      <c r="M92" s="3">
        <v>9.6635709999999992</v>
      </c>
      <c r="N92">
        <v>1.843</v>
      </c>
      <c r="O92" s="4">
        <v>153.74719999999999</v>
      </c>
      <c r="P92">
        <v>21.514650072751532</v>
      </c>
    </row>
    <row r="93" spans="2:16" x14ac:dyDescent="0.3">
      <c r="B93" t="s">
        <v>4</v>
      </c>
      <c r="C93">
        <f>C92+1</f>
        <v>2002</v>
      </c>
      <c r="D93">
        <v>6.4643674700676117</v>
      </c>
      <c r="E93">
        <v>24144.572701952864</v>
      </c>
      <c r="F93">
        <v>45.65</v>
      </c>
      <c r="G93">
        <v>4.8278995390501604</v>
      </c>
      <c r="H93">
        <v>11.775059340360567</v>
      </c>
      <c r="I93">
        <v>1.0315474284651283</v>
      </c>
      <c r="J93">
        <v>8.6999999999999993</v>
      </c>
      <c r="K93">
        <v>44.288977953759243</v>
      </c>
      <c r="L93">
        <v>24.6</v>
      </c>
      <c r="M93" s="3">
        <v>9.8557140000000008</v>
      </c>
      <c r="N93">
        <v>1.123</v>
      </c>
      <c r="O93" s="4">
        <v>157.39127999999999</v>
      </c>
      <c r="P93">
        <v>20.700190530449138</v>
      </c>
    </row>
    <row r="94" spans="2:16" x14ac:dyDescent="0.3">
      <c r="B94" t="s">
        <v>4</v>
      </c>
      <c r="C94">
        <f t="shared" ref="C94:C112" si="3">C93+1</f>
        <v>2003</v>
      </c>
      <c r="D94">
        <v>6.4976761793260405</v>
      </c>
      <c r="E94">
        <v>29479.522210117506</v>
      </c>
      <c r="F94">
        <v>44.9</v>
      </c>
      <c r="G94">
        <v>5.1630271788412205</v>
      </c>
      <c r="H94">
        <v>11.339747864469214</v>
      </c>
      <c r="I94">
        <v>1.2518567915347949</v>
      </c>
      <c r="J94">
        <v>8.8000000000000007</v>
      </c>
      <c r="K94">
        <v>43.097418734791141</v>
      </c>
      <c r="L94">
        <v>25.2</v>
      </c>
      <c r="M94" s="3">
        <v>10.047857</v>
      </c>
      <c r="N94">
        <v>0.99099999999999999</v>
      </c>
      <c r="O94" s="4">
        <v>181.33936</v>
      </c>
      <c r="P94">
        <v>20.65061682309355</v>
      </c>
    </row>
    <row r="95" spans="2:16" x14ac:dyDescent="0.3">
      <c r="B95" t="s">
        <v>4</v>
      </c>
      <c r="C95">
        <f t="shared" si="3"/>
        <v>2004</v>
      </c>
      <c r="D95">
        <v>6.4666831069949628</v>
      </c>
      <c r="E95">
        <v>33644.928222036418</v>
      </c>
      <c r="F95">
        <v>44.97</v>
      </c>
      <c r="G95">
        <v>4.7443354533466424</v>
      </c>
      <c r="H95">
        <v>11.305227914495699</v>
      </c>
      <c r="I95">
        <v>1.1371772292802234</v>
      </c>
      <c r="J95">
        <v>8.9</v>
      </c>
      <c r="K95">
        <v>43.750799602824429</v>
      </c>
      <c r="L95">
        <v>24.5</v>
      </c>
      <c r="M95" s="3">
        <v>10.24</v>
      </c>
      <c r="N95">
        <v>2.524</v>
      </c>
      <c r="O95" s="4">
        <v>240.67920000000001</v>
      </c>
      <c r="P95">
        <v>21.364368548058593</v>
      </c>
    </row>
    <row r="96" spans="2:16" x14ac:dyDescent="0.3">
      <c r="B96" t="s">
        <v>4</v>
      </c>
      <c r="C96">
        <f t="shared" si="3"/>
        <v>2005</v>
      </c>
      <c r="D96">
        <v>6.4539140290822914</v>
      </c>
      <c r="E96">
        <v>34696.37183169715</v>
      </c>
      <c r="F96">
        <v>44.87</v>
      </c>
      <c r="G96">
        <v>5.3301646874202557</v>
      </c>
      <c r="H96">
        <v>9.7786519135994272</v>
      </c>
      <c r="I96">
        <v>1.3757223627358908</v>
      </c>
      <c r="J96">
        <v>8.6</v>
      </c>
      <c r="K96">
        <v>44.137198075067005</v>
      </c>
      <c r="L96">
        <v>23.9</v>
      </c>
      <c r="M96" s="3">
        <v>10.32</v>
      </c>
      <c r="N96">
        <v>1.9850000000000001</v>
      </c>
      <c r="O96" s="4">
        <v>342.92673000000002</v>
      </c>
      <c r="P96">
        <v>21.911353478115263</v>
      </c>
    </row>
    <row r="97" spans="2:16" x14ac:dyDescent="0.3">
      <c r="B97" t="s">
        <v>4</v>
      </c>
      <c r="C97">
        <f t="shared" si="3"/>
        <v>2006</v>
      </c>
      <c r="D97">
        <v>6.2402166836297859</v>
      </c>
      <c r="E97">
        <v>36431.565890655525</v>
      </c>
      <c r="F97">
        <v>45.67</v>
      </c>
      <c r="G97">
        <v>4.5930464157921191</v>
      </c>
      <c r="H97">
        <v>10.740012072315606</v>
      </c>
      <c r="I97">
        <v>1.240804426747659</v>
      </c>
      <c r="J97">
        <v>8.5</v>
      </c>
      <c r="K97">
        <v>44.773468129582803</v>
      </c>
      <c r="L97">
        <v>23.5</v>
      </c>
      <c r="M97" s="3">
        <v>10.445</v>
      </c>
      <c r="N97">
        <v>2.93</v>
      </c>
      <c r="O97" s="4">
        <v>409.74313000000001</v>
      </c>
      <c r="P97">
        <v>22.685188595924814</v>
      </c>
    </row>
    <row r="98" spans="2:16" x14ac:dyDescent="0.3">
      <c r="B98" t="s">
        <v>4</v>
      </c>
      <c r="C98">
        <f t="shared" si="3"/>
        <v>2007</v>
      </c>
      <c r="D98">
        <v>6.090030302940364</v>
      </c>
      <c r="E98">
        <v>41486.190782878672</v>
      </c>
      <c r="F98">
        <v>45.25</v>
      </c>
      <c r="G98">
        <v>4.9488563766304878</v>
      </c>
      <c r="H98">
        <v>11.102589123994328</v>
      </c>
      <c r="I98">
        <v>1.0816683281616377</v>
      </c>
      <c r="J98">
        <v>9.4</v>
      </c>
      <c r="K98">
        <v>44.825115567296898</v>
      </c>
      <c r="L98">
        <v>26.2</v>
      </c>
      <c r="M98" s="3">
        <v>10.57</v>
      </c>
      <c r="N98">
        <v>2.4849999999999999</v>
      </c>
      <c r="O98" s="4">
        <v>455.31279999999998</v>
      </c>
      <c r="P98">
        <v>23.569105004277105</v>
      </c>
    </row>
    <row r="99" spans="2:16" x14ac:dyDescent="0.3">
      <c r="B99" t="s">
        <v>4</v>
      </c>
      <c r="C99">
        <f t="shared" si="3"/>
        <v>2008</v>
      </c>
      <c r="D99">
        <v>5.9429019125961648</v>
      </c>
      <c r="E99">
        <v>45464.818138515802</v>
      </c>
      <c r="F99">
        <v>45.28</v>
      </c>
      <c r="G99">
        <v>4.6067834773425167</v>
      </c>
      <c r="H99">
        <v>11.914654081693115</v>
      </c>
      <c r="I99">
        <v>0.93115094648714025</v>
      </c>
      <c r="J99">
        <v>10.5</v>
      </c>
      <c r="K99">
        <v>45.545772182315368</v>
      </c>
      <c r="L99">
        <v>26.7</v>
      </c>
      <c r="M99" s="3">
        <v>10.65</v>
      </c>
      <c r="N99">
        <v>0.26200000000000001</v>
      </c>
      <c r="O99" s="4">
        <v>611.72064</v>
      </c>
      <c r="P99">
        <v>23.467104040266939</v>
      </c>
    </row>
    <row r="100" spans="2:16" x14ac:dyDescent="0.3">
      <c r="B100" t="s">
        <v>4</v>
      </c>
      <c r="C100">
        <f t="shared" si="3"/>
        <v>2009</v>
      </c>
      <c r="D100">
        <v>5.7171731726964534</v>
      </c>
      <c r="E100">
        <v>41728.088416413208</v>
      </c>
      <c r="F100">
        <v>44.14</v>
      </c>
      <c r="G100">
        <v>4.4817838316928675</v>
      </c>
      <c r="H100">
        <v>11.562438774082194</v>
      </c>
      <c r="I100">
        <v>0.87922750384848636</v>
      </c>
      <c r="J100">
        <v>11.2</v>
      </c>
      <c r="K100">
        <v>38.726837522228372</v>
      </c>
      <c r="L100">
        <v>26.1</v>
      </c>
      <c r="M100" s="3">
        <v>10.63</v>
      </c>
      <c r="N100">
        <v>-2.7309999999999999</v>
      </c>
      <c r="O100" s="4">
        <v>387.89992999999998</v>
      </c>
      <c r="P100">
        <v>20.717758624911291</v>
      </c>
    </row>
    <row r="101" spans="2:16" x14ac:dyDescent="0.3">
      <c r="B101" t="s">
        <v>4</v>
      </c>
      <c r="C101">
        <f t="shared" si="3"/>
        <v>2010</v>
      </c>
      <c r="D101">
        <v>5.8019480790599962</v>
      </c>
      <c r="E101">
        <v>40694.821169702453</v>
      </c>
      <c r="F101">
        <v>44.95</v>
      </c>
      <c r="G101">
        <v>4.622448782424331</v>
      </c>
      <c r="H101">
        <v>11.861328293110505</v>
      </c>
      <c r="I101">
        <v>0.96980960394317794</v>
      </c>
      <c r="J101">
        <v>11.9</v>
      </c>
      <c r="K101">
        <v>42.885047331380413</v>
      </c>
      <c r="L101">
        <v>27.1</v>
      </c>
      <c r="M101" s="3">
        <v>10.78</v>
      </c>
      <c r="N101">
        <v>1.8380000000000001</v>
      </c>
      <c r="O101" s="4">
        <v>500.01101999999997</v>
      </c>
      <c r="P101">
        <v>21.33786950200421</v>
      </c>
    </row>
    <row r="102" spans="2:16" x14ac:dyDescent="0.3">
      <c r="B102" t="s">
        <v>4</v>
      </c>
      <c r="C102">
        <f t="shared" si="3"/>
        <v>2011</v>
      </c>
      <c r="D102">
        <v>5.5660404068941283</v>
      </c>
      <c r="E102">
        <v>43929.784087381166</v>
      </c>
      <c r="F102">
        <v>46.82</v>
      </c>
      <c r="G102">
        <v>3.4652766276444593</v>
      </c>
      <c r="H102">
        <v>8.8724819344322317</v>
      </c>
      <c r="I102">
        <v>1.2979315033864767</v>
      </c>
      <c r="J102">
        <v>10.6</v>
      </c>
      <c r="K102">
        <v>45.864586007099078</v>
      </c>
      <c r="L102">
        <v>26.9</v>
      </c>
      <c r="M102" s="3">
        <v>10.85</v>
      </c>
      <c r="N102">
        <v>2.484</v>
      </c>
      <c r="O102" s="4">
        <v>699.77544999999998</v>
      </c>
      <c r="P102">
        <v>22.499645271657897</v>
      </c>
    </row>
    <row r="103" spans="2:16" x14ac:dyDescent="0.3">
      <c r="B103" t="s">
        <v>4</v>
      </c>
      <c r="C103">
        <f t="shared" si="3"/>
        <v>2012</v>
      </c>
      <c r="D103">
        <v>5.5594976360640604</v>
      </c>
      <c r="E103">
        <v>40863.581441233335</v>
      </c>
      <c r="F103">
        <v>45.78</v>
      </c>
      <c r="G103">
        <v>4.2105079481407808</v>
      </c>
      <c r="H103">
        <v>11.299970336247361</v>
      </c>
      <c r="I103">
        <v>1.2711790469210771</v>
      </c>
      <c r="J103">
        <v>12.3</v>
      </c>
      <c r="K103">
        <v>46.333198371033475</v>
      </c>
      <c r="L103">
        <v>26.9</v>
      </c>
      <c r="M103" s="3">
        <v>10.94</v>
      </c>
      <c r="N103">
        <v>0.23</v>
      </c>
      <c r="O103" s="4">
        <v>702.38007000000005</v>
      </c>
      <c r="P103">
        <v>21.829564877274755</v>
      </c>
    </row>
    <row r="104" spans="2:16" x14ac:dyDescent="0.3">
      <c r="B104" t="s">
        <v>4</v>
      </c>
      <c r="C104">
        <f t="shared" si="3"/>
        <v>2013</v>
      </c>
      <c r="D104">
        <v>5.4571209897910133</v>
      </c>
      <c r="E104">
        <v>42669.179511189272</v>
      </c>
      <c r="F104">
        <v>45.9</v>
      </c>
      <c r="G104">
        <v>4.5213167650693391</v>
      </c>
      <c r="H104">
        <v>13.22772209254428</v>
      </c>
      <c r="I104">
        <v>1.0967321158863106</v>
      </c>
      <c r="J104">
        <v>13.4</v>
      </c>
      <c r="K104">
        <v>44.829375315139359</v>
      </c>
      <c r="L104">
        <v>26.4</v>
      </c>
      <c r="M104" s="3">
        <v>11.08</v>
      </c>
      <c r="N104">
        <v>0.92500000000000004</v>
      </c>
      <c r="O104" s="4">
        <v>683.44029999999998</v>
      </c>
      <c r="P104">
        <v>21.520441960600976</v>
      </c>
    </row>
    <row r="105" spans="2:16" x14ac:dyDescent="0.3">
      <c r="B105" t="s">
        <v>4</v>
      </c>
      <c r="C105">
        <f t="shared" si="3"/>
        <v>2014</v>
      </c>
      <c r="D105">
        <v>4.9304887449821164</v>
      </c>
      <c r="E105">
        <v>43148.045928841602</v>
      </c>
      <c r="F105">
        <v>48.89</v>
      </c>
      <c r="G105">
        <v>2.4140753578266341</v>
      </c>
      <c r="H105">
        <v>12.141933389531443</v>
      </c>
      <c r="I105">
        <v>1.1211697584353888</v>
      </c>
      <c r="J105">
        <v>13.2</v>
      </c>
      <c r="K105">
        <v>43.967360627144039</v>
      </c>
      <c r="L105">
        <v>26.1</v>
      </c>
      <c r="M105" s="3">
        <v>11.23</v>
      </c>
      <c r="N105">
        <v>1.0009999999999999</v>
      </c>
      <c r="O105" s="4">
        <v>622.35059999999999</v>
      </c>
      <c r="P105">
        <v>21.836470823613194</v>
      </c>
    </row>
    <row r="106" spans="2:16" x14ac:dyDescent="0.3">
      <c r="B106" t="s">
        <v>4</v>
      </c>
      <c r="C106">
        <f t="shared" si="3"/>
        <v>2015</v>
      </c>
      <c r="D106">
        <v>4.9911634069176127</v>
      </c>
      <c r="E106">
        <v>36702.432373337935</v>
      </c>
      <c r="F106">
        <v>48.18</v>
      </c>
      <c r="G106">
        <v>2.5100749608124118</v>
      </c>
      <c r="H106">
        <v>10.435021029379051</v>
      </c>
      <c r="I106">
        <v>1.1507096876546596</v>
      </c>
      <c r="J106">
        <v>13.3</v>
      </c>
      <c r="K106">
        <v>44.095365265823219</v>
      </c>
      <c r="L106">
        <v>26.6</v>
      </c>
      <c r="M106" s="3">
        <v>11.33</v>
      </c>
      <c r="N106">
        <v>0.998</v>
      </c>
      <c r="O106" s="4">
        <v>329.50225999999998</v>
      </c>
      <c r="P106">
        <v>21.716541861330526</v>
      </c>
    </row>
    <row r="107" spans="2:16" x14ac:dyDescent="0.3">
      <c r="B107" t="s">
        <v>4</v>
      </c>
      <c r="C107">
        <f t="shared" si="3"/>
        <v>2016</v>
      </c>
      <c r="D107">
        <v>5.0172753162785071</v>
      </c>
      <c r="E107">
        <v>37024.215713366888</v>
      </c>
      <c r="F107">
        <v>45.73</v>
      </c>
      <c r="G107">
        <v>2.1692688681751995</v>
      </c>
      <c r="H107">
        <v>11.635507562149925</v>
      </c>
      <c r="I107">
        <v>1.2143016569770533</v>
      </c>
      <c r="J107">
        <v>14.2</v>
      </c>
      <c r="K107">
        <v>43.265572508897435</v>
      </c>
      <c r="L107">
        <v>25.9</v>
      </c>
      <c r="M107" s="3">
        <v>11.35</v>
      </c>
      <c r="N107">
        <v>0.73499999999999999</v>
      </c>
      <c r="O107" s="4">
        <v>275.07916</v>
      </c>
      <c r="P107">
        <v>21.59786061523263</v>
      </c>
    </row>
    <row r="108" spans="2:16" x14ac:dyDescent="0.3">
      <c r="B108" t="s">
        <v>4</v>
      </c>
      <c r="C108">
        <f t="shared" si="3"/>
        <v>2017</v>
      </c>
      <c r="D108">
        <v>5.061551432633542</v>
      </c>
      <c r="E108">
        <v>38687.162640716364</v>
      </c>
      <c r="F108">
        <v>45.06</v>
      </c>
      <c r="G108">
        <v>2.7019579328012857</v>
      </c>
      <c r="H108">
        <v>9.8019310874500647</v>
      </c>
      <c r="I108">
        <v>1.2407530209909312</v>
      </c>
      <c r="J108">
        <v>14.1</v>
      </c>
      <c r="K108">
        <v>44.599873604723292</v>
      </c>
      <c r="L108">
        <v>25.8</v>
      </c>
      <c r="M108" s="3">
        <v>11.41</v>
      </c>
      <c r="N108">
        <v>2.2679999999999998</v>
      </c>
      <c r="O108" s="4">
        <v>340.85962000000001</v>
      </c>
      <c r="P108">
        <v>22.181399195917582</v>
      </c>
    </row>
    <row r="109" spans="2:16" x14ac:dyDescent="0.3">
      <c r="B109" t="s">
        <v>4</v>
      </c>
      <c r="C109">
        <f t="shared" si="3"/>
        <v>2018</v>
      </c>
      <c r="D109">
        <v>4.8921706650675798</v>
      </c>
      <c r="E109">
        <v>41418.176648484419</v>
      </c>
      <c r="F109">
        <v>47.6</v>
      </c>
      <c r="G109">
        <v>1.8106339967057523</v>
      </c>
      <c r="H109">
        <v>12.103870139996943</v>
      </c>
      <c r="I109">
        <v>0.98191942318030589</v>
      </c>
      <c r="J109">
        <v>15.2</v>
      </c>
      <c r="K109">
        <v>45.249989746814265</v>
      </c>
      <c r="L109">
        <v>26.7</v>
      </c>
      <c r="M109" s="3">
        <v>11.509999000000001</v>
      </c>
      <c r="N109">
        <v>1.593</v>
      </c>
      <c r="O109" s="4">
        <v>448.52600000000001</v>
      </c>
      <c r="P109">
        <v>22.611573894263763</v>
      </c>
    </row>
    <row r="110" spans="2:16" x14ac:dyDescent="0.3">
      <c r="B110" t="s">
        <v>4</v>
      </c>
      <c r="C110">
        <f t="shared" si="3"/>
        <v>2019</v>
      </c>
      <c r="D110">
        <v>4.792140448182491</v>
      </c>
      <c r="E110">
        <v>40408.284857475053</v>
      </c>
      <c r="F110">
        <v>46.78</v>
      </c>
      <c r="G110">
        <v>1.0276262044682138</v>
      </c>
      <c r="H110">
        <v>10.775374772056688</v>
      </c>
      <c r="I110">
        <v>1.0349763918979933</v>
      </c>
      <c r="J110">
        <v>15.5</v>
      </c>
      <c r="K110">
        <v>45.012924893891032</v>
      </c>
      <c r="L110">
        <v>24.8</v>
      </c>
      <c r="M110" s="3">
        <v>11.61</v>
      </c>
      <c r="N110">
        <v>2.0910000000000002</v>
      </c>
      <c r="O110" s="4">
        <v>403.87164000000001</v>
      </c>
      <c r="P110">
        <v>23.025073361360555</v>
      </c>
    </row>
    <row r="111" spans="2:16" x14ac:dyDescent="0.3">
      <c r="B111" t="s">
        <v>4</v>
      </c>
      <c r="C111">
        <f t="shared" si="3"/>
        <v>2020</v>
      </c>
      <c r="D111">
        <v>4.2467764212747392</v>
      </c>
      <c r="E111">
        <v>39169.860600070715</v>
      </c>
      <c r="F111">
        <v>47.17</v>
      </c>
      <c r="G111">
        <v>0.9275835538291205</v>
      </c>
      <c r="H111">
        <v>12.590590928709489</v>
      </c>
      <c r="I111">
        <v>1.0499352586837809</v>
      </c>
      <c r="J111">
        <v>16.8</v>
      </c>
      <c r="K111">
        <v>40.406490881239279</v>
      </c>
      <c r="L111">
        <v>24.5</v>
      </c>
      <c r="M111" s="3">
        <v>11.687574</v>
      </c>
      <c r="N111">
        <v>-7.6029999999999998</v>
      </c>
      <c r="O111" s="4">
        <v>263.15481999999997</v>
      </c>
      <c r="P111">
        <v>22.804418213843544</v>
      </c>
    </row>
    <row r="112" spans="2:16" x14ac:dyDescent="0.3">
      <c r="B112" t="s">
        <v>4</v>
      </c>
      <c r="C112">
        <f t="shared" si="3"/>
        <v>2021</v>
      </c>
      <c r="D112">
        <v>4.6682086920012793</v>
      </c>
      <c r="E112">
        <v>43725.099952124503</v>
      </c>
      <c r="F112">
        <v>46.41</v>
      </c>
      <c r="G112">
        <v>1.3208168583671831</v>
      </c>
      <c r="H112">
        <v>11.508509991163358</v>
      </c>
      <c r="I112">
        <v>1.0298016165113806</v>
      </c>
      <c r="J112">
        <v>16.2</v>
      </c>
      <c r="K112">
        <v>43.827138408743963</v>
      </c>
      <c r="L112">
        <v>24.9</v>
      </c>
      <c r="M112" s="3">
        <v>11.765668</v>
      </c>
      <c r="N112">
        <v>6.7939999999999996</v>
      </c>
      <c r="O112" s="4">
        <v>446.02163999999999</v>
      </c>
      <c r="P112">
        <v>23.447484578280559</v>
      </c>
    </row>
    <row r="113" spans="2:16" x14ac:dyDescent="0.3">
      <c r="B113" t="s">
        <v>5</v>
      </c>
      <c r="C113">
        <v>2000</v>
      </c>
      <c r="D113">
        <v>1.2784970608008426</v>
      </c>
      <c r="E113">
        <v>749.90853499396133</v>
      </c>
      <c r="F113">
        <v>17.77</v>
      </c>
      <c r="G113">
        <v>0</v>
      </c>
      <c r="H113">
        <v>78.933189655172413</v>
      </c>
      <c r="I113">
        <v>3.6907327586206899</v>
      </c>
      <c r="J113">
        <v>47.2</v>
      </c>
      <c r="K113">
        <v>33.753338518310137</v>
      </c>
      <c r="L113">
        <v>30.3</v>
      </c>
      <c r="M113" s="3">
        <v>11.805937999999999</v>
      </c>
      <c r="N113">
        <v>1.865</v>
      </c>
      <c r="O113" s="4">
        <v>179.23068000000001</v>
      </c>
      <c r="P113">
        <v>26.581315880922041</v>
      </c>
    </row>
    <row r="114" spans="2:16" x14ac:dyDescent="0.3">
      <c r="B114" t="s">
        <v>5</v>
      </c>
      <c r="C114">
        <v>2001</v>
      </c>
      <c r="D114">
        <v>0.96622810087652544</v>
      </c>
      <c r="E114">
        <v>801.98383707928963</v>
      </c>
      <c r="F114">
        <v>18.920000000000002</v>
      </c>
      <c r="G114">
        <v>0</v>
      </c>
      <c r="H114">
        <v>79.890442554418343</v>
      </c>
      <c r="I114">
        <v>0.36038633415020904</v>
      </c>
      <c r="J114">
        <v>53.1</v>
      </c>
      <c r="K114">
        <v>33.266425037458795</v>
      </c>
      <c r="L114">
        <v>30</v>
      </c>
      <c r="M114" s="3">
        <v>11.862831999999999</v>
      </c>
      <c r="N114">
        <v>4.7690000000000001</v>
      </c>
      <c r="O114" s="4">
        <v>153.74719999999999</v>
      </c>
      <c r="P114">
        <v>30.327746478873241</v>
      </c>
    </row>
    <row r="115" spans="2:16" x14ac:dyDescent="0.3">
      <c r="B115" t="s">
        <v>5</v>
      </c>
      <c r="C115">
        <f>C114+1</f>
        <v>2002</v>
      </c>
      <c r="D115">
        <v>0.90322645509693944</v>
      </c>
      <c r="E115">
        <v>853.52617186893929</v>
      </c>
      <c r="F115">
        <v>23.26</v>
      </c>
      <c r="G115">
        <v>0</v>
      </c>
      <c r="H115">
        <v>93.247898580680726</v>
      </c>
      <c r="I115">
        <v>0.41339396444811904</v>
      </c>
      <c r="J115">
        <v>56.8</v>
      </c>
      <c r="K115">
        <v>33.630107966738201</v>
      </c>
      <c r="L115">
        <v>28.2</v>
      </c>
      <c r="M115" s="3">
        <v>11.92</v>
      </c>
      <c r="N115">
        <v>5.4870000000000001</v>
      </c>
      <c r="O115" s="4">
        <v>157.39127999999999</v>
      </c>
      <c r="P115">
        <v>28.501182939914166</v>
      </c>
    </row>
    <row r="116" spans="2:16" x14ac:dyDescent="0.3">
      <c r="B116" t="s">
        <v>5</v>
      </c>
      <c r="C116">
        <f t="shared" ref="C116:C134" si="4">C115+1</f>
        <v>2003</v>
      </c>
      <c r="D116">
        <v>1.0010537141145055</v>
      </c>
      <c r="E116">
        <v>1010.0315163086844</v>
      </c>
      <c r="F116">
        <v>21.1</v>
      </c>
      <c r="G116">
        <v>0</v>
      </c>
      <c r="H116">
        <v>91.145251396648035</v>
      </c>
      <c r="I116">
        <v>0.41899441340782123</v>
      </c>
      <c r="J116">
        <v>55.3</v>
      </c>
      <c r="K116">
        <v>40.136515220513537</v>
      </c>
      <c r="L116">
        <v>27.1</v>
      </c>
      <c r="M116" s="3">
        <v>11.978</v>
      </c>
      <c r="N116">
        <v>11.228</v>
      </c>
      <c r="O116" s="4">
        <v>181.33936</v>
      </c>
      <c r="P116">
        <v>29.095876974813468</v>
      </c>
    </row>
    <row r="117" spans="2:16" x14ac:dyDescent="0.3">
      <c r="B117" t="s">
        <v>5</v>
      </c>
      <c r="C117">
        <f t="shared" si="4"/>
        <v>2004</v>
      </c>
      <c r="D117">
        <v>1.0980460056934209</v>
      </c>
      <c r="E117">
        <v>1305.0474855720777</v>
      </c>
      <c r="F117">
        <v>19.059999999999999</v>
      </c>
      <c r="G117">
        <v>0</v>
      </c>
      <c r="H117">
        <v>87.362796071634889</v>
      </c>
      <c r="I117">
        <v>0.60658578856152512</v>
      </c>
      <c r="J117">
        <v>54.5</v>
      </c>
      <c r="K117">
        <v>48.64043646875605</v>
      </c>
      <c r="L117">
        <v>26.7</v>
      </c>
      <c r="M117" s="3">
        <v>12.036</v>
      </c>
      <c r="N117">
        <v>5.7960000000000003</v>
      </c>
      <c r="O117" s="4">
        <v>240.67920000000001</v>
      </c>
      <c r="P117">
        <v>30.987449487495294</v>
      </c>
    </row>
    <row r="118" spans="2:16" x14ac:dyDescent="0.3">
      <c r="B118" t="s">
        <v>5</v>
      </c>
      <c r="C118">
        <f t="shared" si="4"/>
        <v>2005</v>
      </c>
      <c r="D118">
        <v>1.2759358242179504</v>
      </c>
      <c r="E118">
        <v>1642.7835941479732</v>
      </c>
      <c r="F118">
        <v>19.22</v>
      </c>
      <c r="G118">
        <v>0</v>
      </c>
      <c r="H118">
        <v>85.812577404706204</v>
      </c>
      <c r="I118">
        <v>0.90821521948534467</v>
      </c>
      <c r="J118">
        <v>41.5</v>
      </c>
      <c r="K118">
        <v>52.332647428340316</v>
      </c>
      <c r="L118">
        <v>27.7</v>
      </c>
      <c r="M118" s="3">
        <v>12.093999999999999</v>
      </c>
      <c r="N118">
        <v>9.5879999999999992</v>
      </c>
      <c r="O118" s="4">
        <v>342.92673000000002</v>
      </c>
      <c r="P118">
        <v>33.329604419623266</v>
      </c>
    </row>
    <row r="119" spans="2:16" x14ac:dyDescent="0.3">
      <c r="B119" t="s">
        <v>5</v>
      </c>
      <c r="C119">
        <f t="shared" si="4"/>
        <v>2006</v>
      </c>
      <c r="D119">
        <v>1.4641989492176859</v>
      </c>
      <c r="E119">
        <v>1996.0201327228401</v>
      </c>
      <c r="F119">
        <v>15.53</v>
      </c>
      <c r="G119">
        <v>0</v>
      </c>
      <c r="H119">
        <v>72.938108961163721</v>
      </c>
      <c r="I119">
        <v>0.32935364347468093</v>
      </c>
      <c r="J119">
        <v>37.200000000000003</v>
      </c>
      <c r="K119">
        <v>59.571990094199379</v>
      </c>
      <c r="L119">
        <v>27.5</v>
      </c>
      <c r="M119" s="3">
        <v>12.151999999999999</v>
      </c>
      <c r="N119">
        <v>9.42</v>
      </c>
      <c r="O119" s="4">
        <v>409.74313000000001</v>
      </c>
      <c r="P119">
        <v>29.734805908672286</v>
      </c>
    </row>
    <row r="120" spans="2:16" x14ac:dyDescent="0.3">
      <c r="B120" t="s">
        <v>5</v>
      </c>
      <c r="C120">
        <f t="shared" si="4"/>
        <v>2007</v>
      </c>
      <c r="D120">
        <v>1.7087124413042161</v>
      </c>
      <c r="E120">
        <v>2635.3665027611623</v>
      </c>
      <c r="F120">
        <v>18.02</v>
      </c>
      <c r="G120">
        <v>0</v>
      </c>
      <c r="H120">
        <v>81.829092654824777</v>
      </c>
      <c r="I120">
        <v>0.28804608737397985</v>
      </c>
      <c r="J120">
        <v>36.200000000000003</v>
      </c>
      <c r="K120">
        <v>63.374065388553483</v>
      </c>
      <c r="L120">
        <v>28.9</v>
      </c>
      <c r="M120" s="3">
        <v>12.21</v>
      </c>
      <c r="N120">
        <v>12.579000000000001</v>
      </c>
      <c r="O120" s="4">
        <v>455.31279999999998</v>
      </c>
      <c r="P120">
        <v>33.454554013816804</v>
      </c>
    </row>
    <row r="121" spans="2:16" x14ac:dyDescent="0.3">
      <c r="B121" t="s">
        <v>5</v>
      </c>
      <c r="C121">
        <f t="shared" si="4"/>
        <v>2008</v>
      </c>
      <c r="D121">
        <v>1.4761791048809534</v>
      </c>
      <c r="E121">
        <v>3324.7537205015014</v>
      </c>
      <c r="F121">
        <v>20.96</v>
      </c>
      <c r="G121">
        <v>0</v>
      </c>
      <c r="H121">
        <v>84.72731574588903</v>
      </c>
      <c r="I121">
        <v>0.14196143381048149</v>
      </c>
      <c r="J121">
        <v>36.299999999999997</v>
      </c>
      <c r="K121">
        <v>60.937175156881551</v>
      </c>
      <c r="L121">
        <v>29.1</v>
      </c>
      <c r="M121" s="3">
        <v>12.268000000000001</v>
      </c>
      <c r="N121">
        <v>2.419</v>
      </c>
      <c r="O121" s="4">
        <v>611.72064</v>
      </c>
      <c r="P121">
        <v>27.689791296415713</v>
      </c>
    </row>
    <row r="122" spans="2:16" x14ac:dyDescent="0.3">
      <c r="B122" t="s">
        <v>5</v>
      </c>
      <c r="C122">
        <f t="shared" si="4"/>
        <v>2009</v>
      </c>
      <c r="D122">
        <v>1.6965362221612257</v>
      </c>
      <c r="E122">
        <v>2822.6893966879661</v>
      </c>
      <c r="F122">
        <v>22.01</v>
      </c>
      <c r="G122">
        <v>0</v>
      </c>
      <c r="H122">
        <v>86.60902079925215</v>
      </c>
      <c r="I122">
        <v>0.45571395185791075</v>
      </c>
      <c r="J122">
        <v>36.700000000000003</v>
      </c>
      <c r="K122">
        <v>52.32694183253642</v>
      </c>
      <c r="L122">
        <v>28.9</v>
      </c>
      <c r="M122" s="3">
        <v>12.326000000000001</v>
      </c>
      <c r="N122">
        <v>-3.6509999999999998</v>
      </c>
      <c r="O122" s="4">
        <v>387.89992999999998</v>
      </c>
      <c r="P122">
        <v>13.985877905037251</v>
      </c>
    </row>
    <row r="123" spans="2:16" x14ac:dyDescent="0.3">
      <c r="B123" t="s">
        <v>5</v>
      </c>
      <c r="C123">
        <f t="shared" si="4"/>
        <v>2010</v>
      </c>
      <c r="D123">
        <v>1.6669945691427486</v>
      </c>
      <c r="E123">
        <v>3281.7293093734293</v>
      </c>
      <c r="F123">
        <v>27.26</v>
      </c>
      <c r="G123">
        <v>0</v>
      </c>
      <c r="H123">
        <v>92.522718293164758</v>
      </c>
      <c r="I123">
        <v>0.31608060055314102</v>
      </c>
      <c r="J123">
        <v>39.1</v>
      </c>
      <c r="K123">
        <v>55.798272734660706</v>
      </c>
      <c r="L123">
        <v>29.5</v>
      </c>
      <c r="M123" s="3">
        <v>12.384</v>
      </c>
      <c r="N123">
        <v>6.9420000000000002</v>
      </c>
      <c r="O123" s="4">
        <v>500.01101999999997</v>
      </c>
      <c r="P123">
        <v>20.929149397263984</v>
      </c>
    </row>
    <row r="124" spans="2:16" x14ac:dyDescent="0.3">
      <c r="B124" t="s">
        <v>5</v>
      </c>
      <c r="C124">
        <f t="shared" si="4"/>
        <v>2011</v>
      </c>
      <c r="D124">
        <v>2.0191452494528734</v>
      </c>
      <c r="E124">
        <v>4119.6681830719272</v>
      </c>
      <c r="F124">
        <v>19.440000000000001</v>
      </c>
      <c r="G124">
        <v>2.942907592701589E-3</v>
      </c>
      <c r="H124">
        <v>77.39846968805179</v>
      </c>
      <c r="I124">
        <v>6.8667843829703742E-2</v>
      </c>
      <c r="J124">
        <v>31.5</v>
      </c>
      <c r="K124">
        <v>59.798554465688333</v>
      </c>
      <c r="L124">
        <v>29.8</v>
      </c>
      <c r="M124" s="3">
        <v>12.442</v>
      </c>
      <c r="N124">
        <v>7.9489999999999998</v>
      </c>
      <c r="O124" s="4">
        <v>699.77544999999998</v>
      </c>
      <c r="P124">
        <v>23.120749070845626</v>
      </c>
    </row>
    <row r="125" spans="2:16" x14ac:dyDescent="0.3">
      <c r="B125" t="s">
        <v>5</v>
      </c>
      <c r="C125">
        <f t="shared" si="4"/>
        <v>2012</v>
      </c>
      <c r="D125">
        <v>2.2188467617838521</v>
      </c>
      <c r="E125">
        <v>4530.6953340943082</v>
      </c>
      <c r="F125">
        <v>17.05</v>
      </c>
      <c r="G125">
        <v>0</v>
      </c>
      <c r="H125">
        <v>74.502320783909227</v>
      </c>
      <c r="I125">
        <v>0</v>
      </c>
      <c r="J125">
        <v>28.7</v>
      </c>
      <c r="K125">
        <v>61.635837380363476</v>
      </c>
      <c r="L125">
        <v>29.3</v>
      </c>
      <c r="M125" s="3">
        <v>12.5</v>
      </c>
      <c r="N125">
        <v>6.5789999999999997</v>
      </c>
      <c r="O125" s="4">
        <v>702.38007000000005</v>
      </c>
      <c r="P125">
        <v>26.027622324981181</v>
      </c>
    </row>
    <row r="126" spans="2:16" x14ac:dyDescent="0.3">
      <c r="B126" t="s">
        <v>5</v>
      </c>
      <c r="C126">
        <f t="shared" si="4"/>
        <v>2013</v>
      </c>
      <c r="D126">
        <v>2.461032023300628</v>
      </c>
      <c r="E126">
        <v>4712.0022938266493</v>
      </c>
      <c r="F126">
        <v>17.47</v>
      </c>
      <c r="G126">
        <v>0</v>
      </c>
      <c r="H126">
        <v>82.224873247837763</v>
      </c>
      <c r="I126">
        <v>0</v>
      </c>
      <c r="J126">
        <v>32.4</v>
      </c>
      <c r="K126">
        <v>62.411303280938988</v>
      </c>
      <c r="L126">
        <v>29.1</v>
      </c>
      <c r="M126" s="3">
        <v>12.559998999999999</v>
      </c>
      <c r="N126">
        <v>5.1340000000000003</v>
      </c>
      <c r="O126" s="4">
        <v>683.44029999999998</v>
      </c>
      <c r="P126">
        <v>21.700086485002402</v>
      </c>
    </row>
    <row r="127" spans="2:16" x14ac:dyDescent="0.3">
      <c r="B127" t="s">
        <v>5</v>
      </c>
      <c r="C127">
        <f t="shared" si="4"/>
        <v>2014</v>
      </c>
      <c r="D127">
        <v>2.6456855838043305</v>
      </c>
      <c r="E127">
        <v>4830.3348617024894</v>
      </c>
      <c r="F127">
        <v>16.52</v>
      </c>
      <c r="G127">
        <v>0</v>
      </c>
      <c r="H127">
        <v>80.368334779674086</v>
      </c>
      <c r="I127">
        <v>0</v>
      </c>
      <c r="J127">
        <v>30.7</v>
      </c>
      <c r="K127">
        <v>63.803798061282393</v>
      </c>
      <c r="L127">
        <v>28.6</v>
      </c>
      <c r="M127" s="3">
        <v>12.62</v>
      </c>
      <c r="N127">
        <v>4.0910000000000002</v>
      </c>
      <c r="O127" s="4">
        <v>622.35059999999999</v>
      </c>
      <c r="P127">
        <v>25.650357165374189</v>
      </c>
    </row>
    <row r="128" spans="2:16" x14ac:dyDescent="0.3">
      <c r="B128" t="s">
        <v>5</v>
      </c>
      <c r="C128">
        <f t="shared" si="4"/>
        <v>2015</v>
      </c>
      <c r="D128">
        <v>2.8580432698141025</v>
      </c>
      <c r="E128">
        <v>4086.6223465964995</v>
      </c>
      <c r="F128">
        <v>15.89</v>
      </c>
      <c r="G128">
        <v>0</v>
      </c>
      <c r="H128">
        <v>78.039324286901135</v>
      </c>
      <c r="I128">
        <v>0</v>
      </c>
      <c r="J128">
        <v>27.5</v>
      </c>
      <c r="K128">
        <v>62.428581590830149</v>
      </c>
      <c r="L128">
        <v>27.8</v>
      </c>
      <c r="M128" s="3">
        <v>12.715</v>
      </c>
      <c r="N128">
        <v>3.351</v>
      </c>
      <c r="O128" s="4">
        <v>329.50225999999998</v>
      </c>
      <c r="P128">
        <v>26.877159314576822</v>
      </c>
    </row>
    <row r="129" spans="2:16" x14ac:dyDescent="0.3">
      <c r="B129" t="s">
        <v>5</v>
      </c>
      <c r="C129">
        <f t="shared" si="4"/>
        <v>2016</v>
      </c>
      <c r="D129">
        <v>2.9577961666047399</v>
      </c>
      <c r="E129">
        <v>4143.4012568631515</v>
      </c>
      <c r="F129">
        <v>16.98</v>
      </c>
      <c r="G129">
        <v>0.13824088474166235</v>
      </c>
      <c r="H129">
        <v>80.603075859685504</v>
      </c>
      <c r="I129">
        <v>0</v>
      </c>
      <c r="J129">
        <v>27.2</v>
      </c>
      <c r="K129">
        <v>61.244909514950898</v>
      </c>
      <c r="L129">
        <v>28.1</v>
      </c>
      <c r="M129" s="3">
        <v>12.81</v>
      </c>
      <c r="N129">
        <v>3.45</v>
      </c>
      <c r="O129" s="4">
        <v>275.07916</v>
      </c>
      <c r="P129">
        <v>28.90310699532186</v>
      </c>
    </row>
    <row r="130" spans="2:16" x14ac:dyDescent="0.3">
      <c r="B130" t="s">
        <v>5</v>
      </c>
      <c r="C130">
        <f t="shared" si="4"/>
        <v>2017</v>
      </c>
      <c r="D130">
        <v>2.9964828363918063</v>
      </c>
      <c r="E130">
        <v>4418.7520654667851</v>
      </c>
      <c r="F130">
        <v>16.760000000000002</v>
      </c>
      <c r="G130">
        <v>0.20813459370392853</v>
      </c>
      <c r="H130">
        <v>79.871650333882585</v>
      </c>
      <c r="I130">
        <v>0</v>
      </c>
      <c r="J130">
        <v>27.5</v>
      </c>
      <c r="K130">
        <v>65.579540943396225</v>
      </c>
      <c r="L130">
        <v>28.9</v>
      </c>
      <c r="M130" s="3">
        <v>12.87</v>
      </c>
      <c r="N130">
        <v>5.1609999999999996</v>
      </c>
      <c r="O130" s="4">
        <v>340.85962000000001</v>
      </c>
      <c r="P130">
        <v>25.124817610062895</v>
      </c>
    </row>
    <row r="131" spans="2:16" x14ac:dyDescent="0.3">
      <c r="B131" t="s">
        <v>5</v>
      </c>
      <c r="C131">
        <f t="shared" si="4"/>
        <v>2018</v>
      </c>
      <c r="D131">
        <v>2.9885558998419182</v>
      </c>
      <c r="E131">
        <v>4804.0546040444042</v>
      </c>
      <c r="F131">
        <v>18.22</v>
      </c>
      <c r="G131">
        <v>9.0549884754692139E-2</v>
      </c>
      <c r="H131">
        <v>81.898254856766556</v>
      </c>
      <c r="I131">
        <v>0</v>
      </c>
      <c r="J131">
        <v>27.4</v>
      </c>
      <c r="K131">
        <v>71.174238550711848</v>
      </c>
      <c r="L131">
        <v>27.5</v>
      </c>
      <c r="M131" s="3">
        <v>12.844999</v>
      </c>
      <c r="N131">
        <v>6.0620000000000003</v>
      </c>
      <c r="O131" s="4">
        <v>448.52600000000001</v>
      </c>
      <c r="P131">
        <v>27.926295896328295</v>
      </c>
    </row>
    <row r="132" spans="2:16" x14ac:dyDescent="0.3">
      <c r="B132" t="s">
        <v>5</v>
      </c>
      <c r="C132">
        <f t="shared" si="4"/>
        <v>2019</v>
      </c>
      <c r="D132">
        <v>3.2048881755386396</v>
      </c>
      <c r="E132">
        <v>4741.2832715876011</v>
      </c>
      <c r="F132">
        <v>15.61</v>
      </c>
      <c r="G132">
        <v>0</v>
      </c>
      <c r="H132">
        <v>75.328947368421055</v>
      </c>
      <c r="I132">
        <v>0</v>
      </c>
      <c r="J132">
        <v>24.7</v>
      </c>
      <c r="K132">
        <v>75.494645054900843</v>
      </c>
      <c r="L132">
        <v>27.6</v>
      </c>
      <c r="M132" s="3">
        <v>12.82</v>
      </c>
      <c r="N132">
        <v>5.38</v>
      </c>
      <c r="O132" s="4">
        <v>403.87164000000001</v>
      </c>
      <c r="P132">
        <v>27.168228492136908</v>
      </c>
    </row>
    <row r="133" spans="2:16" x14ac:dyDescent="0.3">
      <c r="B133" t="s">
        <v>5</v>
      </c>
      <c r="C133">
        <f t="shared" si="4"/>
        <v>2020</v>
      </c>
      <c r="D133">
        <v>3.1000484592431978</v>
      </c>
      <c r="E133">
        <v>4300.8570129120699</v>
      </c>
      <c r="F133">
        <v>14.89</v>
      </c>
      <c r="G133">
        <v>0</v>
      </c>
      <c r="H133">
        <v>73.913433103324664</v>
      </c>
      <c r="I133">
        <v>0</v>
      </c>
      <c r="J133">
        <v>23.4</v>
      </c>
      <c r="K133">
        <v>71.139173311374009</v>
      </c>
      <c r="L133">
        <v>26.2</v>
      </c>
      <c r="M133" s="3">
        <v>12.78</v>
      </c>
      <c r="N133">
        <v>-6.2910000000000004</v>
      </c>
      <c r="O133" s="4">
        <v>263.15481999999997</v>
      </c>
      <c r="P133">
        <v>24.605686597441199</v>
      </c>
    </row>
    <row r="134" spans="2:16" x14ac:dyDescent="0.3">
      <c r="B134" t="s">
        <v>5</v>
      </c>
      <c r="C134">
        <f t="shared" si="4"/>
        <v>2021</v>
      </c>
      <c r="D134">
        <v>3.328255060521327</v>
      </c>
      <c r="E134">
        <v>5083.6069548457726</v>
      </c>
      <c r="F134">
        <v>17.07</v>
      </c>
      <c r="G134">
        <v>0</v>
      </c>
      <c r="H134">
        <v>80.521945432977461</v>
      </c>
      <c r="I134">
        <v>0</v>
      </c>
      <c r="J134">
        <v>25.2</v>
      </c>
      <c r="K134">
        <v>76.072307160266121</v>
      </c>
      <c r="L134">
        <v>26.2</v>
      </c>
      <c r="M134" s="3">
        <v>12.74</v>
      </c>
      <c r="N134">
        <v>10.644</v>
      </c>
      <c r="O134" s="4">
        <v>446.02163999999999</v>
      </c>
      <c r="P134">
        <v>20.678850207496215</v>
      </c>
    </row>
    <row r="135" spans="2:16" x14ac:dyDescent="0.3">
      <c r="B135" t="s">
        <v>6</v>
      </c>
      <c r="C135">
        <v>2000</v>
      </c>
      <c r="D135">
        <v>1.3840857961385109</v>
      </c>
      <c r="E135">
        <v>763.7111249509245</v>
      </c>
      <c r="F135">
        <v>7.3</v>
      </c>
      <c r="G135">
        <v>36.433967318510582</v>
      </c>
      <c r="H135">
        <v>10.73238682025181</v>
      </c>
      <c r="I135">
        <v>19.653897669434773</v>
      </c>
      <c r="J135">
        <v>45.6</v>
      </c>
      <c r="K135">
        <v>66.050982615841662</v>
      </c>
      <c r="L135">
        <v>25.6</v>
      </c>
      <c r="M135" s="2">
        <v>5.9512499999999999</v>
      </c>
      <c r="N135">
        <v>4.9790000000000001</v>
      </c>
      <c r="O135" s="4">
        <v>179.23068000000001</v>
      </c>
      <c r="P135">
        <v>22.2456969315568</v>
      </c>
    </row>
    <row r="136" spans="2:16" x14ac:dyDescent="0.3">
      <c r="B136" t="s">
        <v>6</v>
      </c>
      <c r="C136">
        <v>2001</v>
      </c>
      <c r="D136">
        <v>1.4585351894423892</v>
      </c>
      <c r="E136">
        <v>732.30709340570763</v>
      </c>
      <c r="F136">
        <v>8.7799999999999994</v>
      </c>
      <c r="G136">
        <v>37.245935963023683</v>
      </c>
      <c r="H136">
        <v>11.510656369131096</v>
      </c>
      <c r="I136">
        <v>19.383925573310684</v>
      </c>
      <c r="J136">
        <v>44.3</v>
      </c>
      <c r="K136">
        <v>59.144160303512926</v>
      </c>
      <c r="L136">
        <v>26.3</v>
      </c>
      <c r="M136" s="2">
        <v>6.2243751999999999</v>
      </c>
      <c r="N136">
        <v>3.6429999999999998</v>
      </c>
      <c r="O136" s="4">
        <v>153.74719999999999</v>
      </c>
      <c r="P136">
        <v>22.539266316066968</v>
      </c>
    </row>
    <row r="137" spans="2:16" x14ac:dyDescent="0.3">
      <c r="B137" t="s">
        <v>6</v>
      </c>
      <c r="C137">
        <f>C136+1</f>
        <v>2002</v>
      </c>
      <c r="D137">
        <v>1.4631055066585055</v>
      </c>
      <c r="E137">
        <v>881.00291356913124</v>
      </c>
      <c r="F137">
        <v>8.6</v>
      </c>
      <c r="G137">
        <v>39.669368029052734</v>
      </c>
      <c r="H137">
        <v>9.1787796741731889</v>
      </c>
      <c r="I137">
        <v>23.3429128510308</v>
      </c>
      <c r="J137">
        <v>44.7</v>
      </c>
      <c r="K137">
        <v>49.834250961059332</v>
      </c>
      <c r="L137">
        <v>25.9</v>
      </c>
      <c r="M137" s="2">
        <v>6.4974999999999996</v>
      </c>
      <c r="N137">
        <v>4.4989999999999997</v>
      </c>
      <c r="O137" s="4">
        <v>157.39127999999999</v>
      </c>
      <c r="P137">
        <v>21.404070207517329</v>
      </c>
    </row>
    <row r="138" spans="2:16" x14ac:dyDescent="0.3">
      <c r="B138" t="s">
        <v>6</v>
      </c>
      <c r="C138">
        <f t="shared" ref="C138:C156" si="5">C137+1</f>
        <v>2003</v>
      </c>
      <c r="D138">
        <v>1.5713225064404925</v>
      </c>
      <c r="E138">
        <v>1043.2105838671025</v>
      </c>
      <c r="F138">
        <v>8.6300000000000008</v>
      </c>
      <c r="G138">
        <v>41.123621364207693</v>
      </c>
      <c r="H138">
        <v>8.0540655372032504</v>
      </c>
      <c r="I138">
        <v>24.95264397117921</v>
      </c>
      <c r="J138">
        <v>43</v>
      </c>
      <c r="K138">
        <v>45.279586144216147</v>
      </c>
      <c r="L138">
        <v>24.6</v>
      </c>
      <c r="M138" s="2">
        <v>6.7706249999999999</v>
      </c>
      <c r="N138">
        <v>4.78</v>
      </c>
      <c r="O138" s="4">
        <v>181.33936</v>
      </c>
      <c r="P138">
        <v>25.598498386978711</v>
      </c>
    </row>
    <row r="139" spans="2:16" x14ac:dyDescent="0.3">
      <c r="B139" t="s">
        <v>6</v>
      </c>
      <c r="C139">
        <f t="shared" si="5"/>
        <v>2004</v>
      </c>
      <c r="D139">
        <v>1.5801193128584099</v>
      </c>
      <c r="E139">
        <v>1126.8400444717279</v>
      </c>
      <c r="F139">
        <v>8.49</v>
      </c>
      <c r="G139">
        <v>40.121335186371844</v>
      </c>
      <c r="H139">
        <v>8.0507310902690516</v>
      </c>
      <c r="I139">
        <v>29.936835798040995</v>
      </c>
      <c r="J139">
        <v>41.5</v>
      </c>
      <c r="K139">
        <v>48.919766624424788</v>
      </c>
      <c r="L139">
        <v>25.3</v>
      </c>
      <c r="M139" s="2">
        <v>7.0437503000000001</v>
      </c>
      <c r="N139">
        <v>5.0309999999999997</v>
      </c>
      <c r="O139" s="4">
        <v>240.67920000000001</v>
      </c>
      <c r="P139">
        <v>24.056366374771748</v>
      </c>
    </row>
    <row r="140" spans="2:16" x14ac:dyDescent="0.3">
      <c r="B140" t="s">
        <v>6</v>
      </c>
      <c r="C140">
        <f t="shared" si="5"/>
        <v>2005</v>
      </c>
      <c r="D140">
        <v>1.5705566274594562</v>
      </c>
      <c r="E140">
        <v>1238.2144762948797</v>
      </c>
      <c r="F140">
        <v>8.35</v>
      </c>
      <c r="G140">
        <v>40.612723380564418</v>
      </c>
      <c r="H140">
        <v>8.4098518768280162</v>
      </c>
      <c r="I140">
        <v>30.815736028667988</v>
      </c>
      <c r="J140">
        <v>41.6</v>
      </c>
      <c r="K140">
        <v>56.921602817966324</v>
      </c>
      <c r="L140">
        <v>25.1</v>
      </c>
      <c r="M140" s="2">
        <v>7.3168749999999996</v>
      </c>
      <c r="N140">
        <v>5.6929999999999996</v>
      </c>
      <c r="O140" s="4">
        <v>342.92673000000002</v>
      </c>
      <c r="P140">
        <v>25.081409938956799</v>
      </c>
    </row>
    <row r="141" spans="2:16" x14ac:dyDescent="0.3">
      <c r="B141" t="s">
        <v>6</v>
      </c>
      <c r="C141">
        <f t="shared" si="5"/>
        <v>2006</v>
      </c>
      <c r="D141">
        <v>1.6388830628988249</v>
      </c>
      <c r="E141">
        <v>1558.3156284716338</v>
      </c>
      <c r="F141">
        <v>8.15</v>
      </c>
      <c r="G141">
        <v>44.058855356498739</v>
      </c>
      <c r="H141">
        <v>7.2314235902368642</v>
      </c>
      <c r="I141">
        <v>29.067722736563667</v>
      </c>
      <c r="J141">
        <v>40.1</v>
      </c>
      <c r="K141">
        <v>50.518896100967716</v>
      </c>
      <c r="L141">
        <v>26.1</v>
      </c>
      <c r="M141" s="2">
        <v>7.59</v>
      </c>
      <c r="N141">
        <v>5.5010000000000003</v>
      </c>
      <c r="O141" s="4">
        <v>409.74313000000001</v>
      </c>
      <c r="P141">
        <v>25.400217294354771</v>
      </c>
    </row>
    <row r="142" spans="2:16" x14ac:dyDescent="0.3">
      <c r="B142" t="s">
        <v>6</v>
      </c>
      <c r="C142">
        <f t="shared" si="5"/>
        <v>2007</v>
      </c>
      <c r="D142">
        <v>1.6948850040232246</v>
      </c>
      <c r="E142">
        <v>1823.2197625507274</v>
      </c>
      <c r="F142">
        <v>8.75</v>
      </c>
      <c r="G142">
        <v>44.893810103340812</v>
      </c>
      <c r="H142">
        <v>7.9394446750286676</v>
      </c>
      <c r="I142">
        <v>26.464112106140654</v>
      </c>
      <c r="J142">
        <v>40</v>
      </c>
      <c r="K142">
        <v>48.844475826377689</v>
      </c>
      <c r="L142">
        <v>27.3</v>
      </c>
      <c r="M142" s="2">
        <v>7.02</v>
      </c>
      <c r="N142">
        <v>6.3449999999999998</v>
      </c>
      <c r="O142" s="4">
        <v>455.31279999999998</v>
      </c>
      <c r="P142">
        <v>24.920283848725649</v>
      </c>
    </row>
    <row r="143" spans="2:16" x14ac:dyDescent="0.3">
      <c r="B143" t="s">
        <v>6</v>
      </c>
      <c r="C143">
        <f t="shared" si="5"/>
        <v>2008</v>
      </c>
      <c r="D143">
        <v>1.6541425247204959</v>
      </c>
      <c r="E143">
        <v>2124.5548392061796</v>
      </c>
      <c r="F143">
        <v>10.06</v>
      </c>
      <c r="G143">
        <v>41.112733214577503</v>
      </c>
      <c r="H143">
        <v>7.7200219653643707</v>
      </c>
      <c r="I143">
        <v>28.690917857573361</v>
      </c>
      <c r="J143">
        <v>41.1</v>
      </c>
      <c r="K143">
        <v>52.357704307217766</v>
      </c>
      <c r="L143">
        <v>26.9</v>
      </c>
      <c r="M143" s="2">
        <v>7.07</v>
      </c>
      <c r="N143">
        <v>7.4420000000000002</v>
      </c>
      <c r="O143" s="4">
        <v>611.72064</v>
      </c>
      <c r="P143">
        <v>27.816244579858303</v>
      </c>
    </row>
    <row r="144" spans="2:16" x14ac:dyDescent="0.3">
      <c r="B144" t="s">
        <v>6</v>
      </c>
      <c r="C144">
        <f t="shared" si="5"/>
        <v>2009</v>
      </c>
      <c r="D144">
        <v>1.6912632704737622</v>
      </c>
      <c r="E144">
        <v>2218.4854185297663</v>
      </c>
      <c r="F144">
        <v>10.33</v>
      </c>
      <c r="G144">
        <v>42.028652710270833</v>
      </c>
      <c r="H144">
        <v>7.2614081416561422</v>
      </c>
      <c r="I144">
        <v>22.538175973056756</v>
      </c>
      <c r="J144">
        <v>38.200000000000003</v>
      </c>
      <c r="K144">
        <v>39.555203331450492</v>
      </c>
      <c r="L144">
        <v>27.8</v>
      </c>
      <c r="M144" s="2">
        <v>7.31</v>
      </c>
      <c r="N144">
        <v>4.702</v>
      </c>
      <c r="O144" s="4">
        <v>387.89992999999998</v>
      </c>
      <c r="P144">
        <v>30.985192413998121</v>
      </c>
    </row>
    <row r="145" spans="2:16" x14ac:dyDescent="0.3">
      <c r="B145" t="s">
        <v>6</v>
      </c>
      <c r="C145">
        <f t="shared" si="5"/>
        <v>2010</v>
      </c>
      <c r="D145">
        <v>1.8013496273539717</v>
      </c>
      <c r="E145">
        <v>3065.6834837776487</v>
      </c>
      <c r="F145">
        <v>10.67</v>
      </c>
      <c r="G145">
        <v>42.770795085439914</v>
      </c>
      <c r="H145">
        <v>9.8607541307724897</v>
      </c>
      <c r="I145">
        <v>19.291060584663182</v>
      </c>
      <c r="J145">
        <v>36</v>
      </c>
      <c r="K145">
        <v>38.861643549746823</v>
      </c>
      <c r="L145">
        <v>27.8</v>
      </c>
      <c r="M145" s="2">
        <v>7.4100003000000001</v>
      </c>
      <c r="N145">
        <v>6.3780000000000001</v>
      </c>
      <c r="O145" s="4">
        <v>500.01101999999997</v>
      </c>
      <c r="P145">
        <v>32.880121453355848</v>
      </c>
    </row>
    <row r="146" spans="2:16" x14ac:dyDescent="0.3">
      <c r="B146" t="s">
        <v>6</v>
      </c>
      <c r="C146">
        <f t="shared" si="5"/>
        <v>2011</v>
      </c>
      <c r="D146">
        <v>2.0039930086672695</v>
      </c>
      <c r="E146">
        <v>3579.4644246615212</v>
      </c>
      <c r="F146">
        <v>10.36</v>
      </c>
      <c r="G146">
        <v>46.337715733112375</v>
      </c>
      <c r="H146">
        <v>6.5127669951281417</v>
      </c>
      <c r="I146">
        <v>22.118969830140493</v>
      </c>
      <c r="J146">
        <v>32.4</v>
      </c>
      <c r="K146">
        <v>42.659146666260909</v>
      </c>
      <c r="L146">
        <v>30.9</v>
      </c>
      <c r="M146" s="2">
        <v>7.51</v>
      </c>
      <c r="N146">
        <v>6.17</v>
      </c>
      <c r="O146" s="4">
        <v>699.77544999999998</v>
      </c>
      <c r="P146">
        <v>32.984333259304528</v>
      </c>
    </row>
    <row r="147" spans="2:16" x14ac:dyDescent="0.3">
      <c r="B147" t="s">
        <v>6</v>
      </c>
      <c r="C147">
        <f t="shared" si="5"/>
        <v>2012</v>
      </c>
      <c r="D147">
        <v>1.9954892890649045</v>
      </c>
      <c r="E147">
        <v>3632.2725403033064</v>
      </c>
      <c r="F147">
        <v>10.06</v>
      </c>
      <c r="G147">
        <v>52.791123974915578</v>
      </c>
      <c r="H147">
        <v>6.1741437530149534</v>
      </c>
      <c r="I147">
        <v>14.432706222865413</v>
      </c>
      <c r="J147">
        <v>30.1</v>
      </c>
      <c r="K147">
        <v>41.58791942684131</v>
      </c>
      <c r="L147">
        <v>30.5</v>
      </c>
      <c r="M147" s="2">
        <v>7.6066669999999998</v>
      </c>
      <c r="N147">
        <v>6.03</v>
      </c>
      <c r="O147" s="4">
        <v>702.38007000000005</v>
      </c>
      <c r="P147">
        <v>35.071593610889281</v>
      </c>
    </row>
    <row r="148" spans="2:16" x14ac:dyDescent="0.3">
      <c r="B148" t="s">
        <v>6</v>
      </c>
      <c r="C148">
        <f t="shared" si="5"/>
        <v>2013</v>
      </c>
      <c r="D148">
        <v>1.8564022679523353</v>
      </c>
      <c r="E148">
        <v>3566.6028450607755</v>
      </c>
      <c r="F148">
        <v>9.91</v>
      </c>
      <c r="G148">
        <v>53.169405990604204</v>
      </c>
      <c r="H148">
        <v>7.5644676086305473</v>
      </c>
      <c r="I148">
        <v>11.957964750108395</v>
      </c>
      <c r="J148">
        <v>30.6</v>
      </c>
      <c r="K148">
        <v>40.457121641493821</v>
      </c>
      <c r="L148">
        <v>31.5</v>
      </c>
      <c r="M148" s="2">
        <v>7.7033334</v>
      </c>
      <c r="N148">
        <v>5.5570000000000004</v>
      </c>
      <c r="O148" s="4">
        <v>683.44029999999998</v>
      </c>
      <c r="P148">
        <v>33.831356787901782</v>
      </c>
    </row>
    <row r="149" spans="2:16" x14ac:dyDescent="0.3">
      <c r="B149" t="s">
        <v>6</v>
      </c>
      <c r="C149">
        <f t="shared" si="5"/>
        <v>2014</v>
      </c>
      <c r="D149">
        <v>1.9510247010786756</v>
      </c>
      <c r="E149">
        <v>3441.0680846400842</v>
      </c>
      <c r="F149">
        <v>10.18</v>
      </c>
      <c r="G149">
        <v>54.45281495930584</v>
      </c>
      <c r="H149">
        <v>6.3740162776619353</v>
      </c>
      <c r="I149">
        <v>10.994148113271002</v>
      </c>
      <c r="J149">
        <v>29.3</v>
      </c>
      <c r="K149">
        <v>39.791886898830683</v>
      </c>
      <c r="L149">
        <v>31.5</v>
      </c>
      <c r="M149" s="2">
        <v>7.8</v>
      </c>
      <c r="N149">
        <v>5.0069999999999997</v>
      </c>
      <c r="O149" s="4">
        <v>622.35059999999999</v>
      </c>
      <c r="P149">
        <v>34.6003439149803</v>
      </c>
    </row>
    <row r="150" spans="2:16" x14ac:dyDescent="0.3">
      <c r="B150" t="s">
        <v>6</v>
      </c>
      <c r="C150">
        <f t="shared" si="5"/>
        <v>2015</v>
      </c>
      <c r="D150">
        <v>1.9572145525902558</v>
      </c>
      <c r="E150">
        <v>3288.222697255384</v>
      </c>
      <c r="F150">
        <v>10.09</v>
      </c>
      <c r="G150">
        <v>58.034845240412693</v>
      </c>
      <c r="H150">
        <v>5.5727240282914803</v>
      </c>
      <c r="I150">
        <v>7.9691454156122248</v>
      </c>
      <c r="J150">
        <v>26.6</v>
      </c>
      <c r="K150">
        <v>34.043045718150324</v>
      </c>
      <c r="L150">
        <v>31.5</v>
      </c>
      <c r="M150" s="2">
        <v>7.91</v>
      </c>
      <c r="N150">
        <v>4.8760000000000003</v>
      </c>
      <c r="O150" s="4">
        <v>329.50225999999998</v>
      </c>
      <c r="P150">
        <v>34.062792180338576</v>
      </c>
    </row>
    <row r="151" spans="2:16" x14ac:dyDescent="0.3">
      <c r="B151" t="s">
        <v>6</v>
      </c>
      <c r="C151">
        <f t="shared" si="5"/>
        <v>2016</v>
      </c>
      <c r="D151">
        <v>1.9162659101333179</v>
      </c>
      <c r="E151">
        <v>3521.469434575738</v>
      </c>
      <c r="F151">
        <v>10.48</v>
      </c>
      <c r="G151">
        <v>57.073449774998096</v>
      </c>
      <c r="H151">
        <v>7.122645107161925</v>
      </c>
      <c r="I151">
        <v>5.9888643124094276</v>
      </c>
      <c r="J151">
        <v>27.8</v>
      </c>
      <c r="K151">
        <v>30.062217498896914</v>
      </c>
      <c r="L151">
        <v>29.4</v>
      </c>
      <c r="M151" s="2">
        <v>7.98</v>
      </c>
      <c r="N151">
        <v>5.0330000000000004</v>
      </c>
      <c r="O151" s="4">
        <v>275.07916</v>
      </c>
      <c r="P151">
        <v>33.858739303946223</v>
      </c>
    </row>
    <row r="152" spans="2:16" x14ac:dyDescent="0.3">
      <c r="B152" t="s">
        <v>6</v>
      </c>
      <c r="C152">
        <f t="shared" si="5"/>
        <v>2017</v>
      </c>
      <c r="D152">
        <v>2.0039427610873668</v>
      </c>
      <c r="E152">
        <v>3798.8832617452576</v>
      </c>
      <c r="F152">
        <v>11.66</v>
      </c>
      <c r="G152">
        <v>61.025540189202765</v>
      </c>
      <c r="H152">
        <v>6.7844996467923648</v>
      </c>
      <c r="I152">
        <v>7.0685222812115382</v>
      </c>
      <c r="J152">
        <v>25.2</v>
      </c>
      <c r="K152">
        <v>32.072665246986531</v>
      </c>
      <c r="L152">
        <v>28.6</v>
      </c>
      <c r="M152" s="2">
        <v>8.2395899999999997</v>
      </c>
      <c r="N152">
        <v>5.07</v>
      </c>
      <c r="O152" s="4">
        <v>340.85962000000001</v>
      </c>
      <c r="P152">
        <v>33.710594795775052</v>
      </c>
    </row>
    <row r="153" spans="2:16" x14ac:dyDescent="0.3">
      <c r="B153" t="s">
        <v>6</v>
      </c>
      <c r="C153">
        <f t="shared" si="5"/>
        <v>2018</v>
      </c>
      <c r="D153">
        <v>2.2095392524191149</v>
      </c>
      <c r="E153">
        <v>3860.9535309072558</v>
      </c>
      <c r="F153">
        <v>11.66</v>
      </c>
      <c r="G153">
        <v>59.943483439935775</v>
      </c>
      <c r="H153">
        <v>7.0033922883704065</v>
      </c>
      <c r="I153">
        <v>4.8162078877178445</v>
      </c>
      <c r="J153">
        <v>22</v>
      </c>
      <c r="K153">
        <v>35.387323583750124</v>
      </c>
      <c r="L153">
        <v>28.5</v>
      </c>
      <c r="M153" s="2">
        <v>8.16</v>
      </c>
      <c r="N153">
        <v>5.1740000000000004</v>
      </c>
      <c r="O153" s="4">
        <v>448.52600000000001</v>
      </c>
      <c r="P153">
        <v>34.570585831970682</v>
      </c>
    </row>
    <row r="154" spans="2:16" x14ac:dyDescent="0.3">
      <c r="B154" t="s">
        <v>6</v>
      </c>
      <c r="C154">
        <f t="shared" si="5"/>
        <v>2019</v>
      </c>
      <c r="D154">
        <v>2.3397946652460559</v>
      </c>
      <c r="E154">
        <v>4106.9485616035772</v>
      </c>
      <c r="F154">
        <v>11.35</v>
      </c>
      <c r="G154">
        <v>62.913255450280559</v>
      </c>
      <c r="H154">
        <v>6.4885168491092511</v>
      </c>
      <c r="I154">
        <v>3.0653420415171864</v>
      </c>
      <c r="J154">
        <v>19.8</v>
      </c>
      <c r="K154">
        <v>30.288538912174513</v>
      </c>
      <c r="L154">
        <v>27.8</v>
      </c>
      <c r="M154" s="2">
        <v>8.3600010000000005</v>
      </c>
      <c r="N154">
        <v>5.0190000000000001</v>
      </c>
      <c r="O154" s="4">
        <v>403.87164000000001</v>
      </c>
      <c r="P154">
        <v>33.780142377399542</v>
      </c>
    </row>
    <row r="155" spans="2:16" x14ac:dyDescent="0.3">
      <c r="B155" t="s">
        <v>6</v>
      </c>
      <c r="C155">
        <f t="shared" si="5"/>
        <v>2020</v>
      </c>
      <c r="D155">
        <v>2.169765808811813</v>
      </c>
      <c r="E155">
        <v>3853.7028877414587</v>
      </c>
      <c r="F155">
        <v>12.4</v>
      </c>
      <c r="G155">
        <v>66.518405417067754</v>
      </c>
      <c r="H155">
        <v>7.3401388666765239</v>
      </c>
      <c r="I155">
        <v>2.3856582890008058</v>
      </c>
      <c r="J155">
        <v>21.9</v>
      </c>
      <c r="K155">
        <v>28.792465480167252</v>
      </c>
      <c r="L155">
        <v>27.9</v>
      </c>
      <c r="M155" s="2">
        <v>8.56</v>
      </c>
      <c r="N155">
        <v>-2.0659999999999998</v>
      </c>
      <c r="O155" s="4">
        <v>263.15481999999997</v>
      </c>
      <c r="P155">
        <v>32.343412053748146</v>
      </c>
    </row>
    <row r="156" spans="2:16" x14ac:dyDescent="0.3">
      <c r="B156" t="s">
        <v>6</v>
      </c>
      <c r="C156">
        <f t="shared" si="5"/>
        <v>2021</v>
      </c>
      <c r="D156">
        <v>2.2499320010753219</v>
      </c>
      <c r="E156">
        <v>4287.1731399509836</v>
      </c>
      <c r="F156">
        <v>11.89</v>
      </c>
      <c r="G156">
        <v>66.866802194435934</v>
      </c>
      <c r="H156">
        <v>6.8776629814252699</v>
      </c>
      <c r="I156">
        <v>2.4183352362917376</v>
      </c>
      <c r="J156">
        <v>20.2</v>
      </c>
      <c r="K156">
        <v>36.046566093216725</v>
      </c>
      <c r="L156">
        <v>28.3</v>
      </c>
      <c r="M156" s="2">
        <v>8.6972240000000003</v>
      </c>
      <c r="N156">
        <v>3.7029999999999998</v>
      </c>
      <c r="O156" s="4">
        <v>446.02163999999999</v>
      </c>
      <c r="P156">
        <v>31.448872485848501</v>
      </c>
    </row>
    <row r="157" spans="2:16" x14ac:dyDescent="0.3">
      <c r="B157" t="s">
        <v>7</v>
      </c>
      <c r="C157">
        <v>2000</v>
      </c>
      <c r="D157">
        <v>0.97949069505275443</v>
      </c>
      <c r="E157">
        <v>279.62173846436474</v>
      </c>
      <c r="F157">
        <v>47.56</v>
      </c>
      <c r="G157">
        <v>4.2930815082713822</v>
      </c>
      <c r="H157">
        <v>85.895117540687167</v>
      </c>
      <c r="I157">
        <v>0</v>
      </c>
      <c r="J157">
        <v>35.200000000000003</v>
      </c>
      <c r="K157">
        <v>78.046942900377459</v>
      </c>
      <c r="L157">
        <v>24.8</v>
      </c>
      <c r="M157" s="2">
        <v>10.347</v>
      </c>
      <c r="N157">
        <v>5.4429999999999996</v>
      </c>
      <c r="O157" s="4">
        <v>179.23068000000001</v>
      </c>
      <c r="P157">
        <v>20.010037072907998</v>
      </c>
    </row>
    <row r="158" spans="2:16" x14ac:dyDescent="0.3">
      <c r="B158" t="s">
        <v>7</v>
      </c>
      <c r="C158">
        <v>2001</v>
      </c>
      <c r="D158">
        <v>0.81515480155702458</v>
      </c>
      <c r="E158">
        <v>308.41129550148037</v>
      </c>
      <c r="F158">
        <v>46.84</v>
      </c>
      <c r="G158">
        <v>4.529157825418892</v>
      </c>
      <c r="H158">
        <v>85.907660788761248</v>
      </c>
      <c r="I158">
        <v>0</v>
      </c>
      <c r="J158">
        <v>36</v>
      </c>
      <c r="K158">
        <v>61.831347323827366</v>
      </c>
      <c r="L158">
        <v>23.9</v>
      </c>
      <c r="M158" s="2">
        <v>10.404</v>
      </c>
      <c r="N158">
        <v>5.3220000000000001</v>
      </c>
      <c r="O158" s="4">
        <v>153.74719999999999</v>
      </c>
      <c r="P158">
        <v>17.999282654449232</v>
      </c>
    </row>
    <row r="159" spans="2:16" x14ac:dyDescent="0.3">
      <c r="B159" t="s">
        <v>7</v>
      </c>
      <c r="C159">
        <f>C158+1</f>
        <v>2002</v>
      </c>
      <c r="D159">
        <v>1.0095569683154924</v>
      </c>
      <c r="E159">
        <v>321.72677536680436</v>
      </c>
      <c r="F159">
        <v>36.36</v>
      </c>
      <c r="G159">
        <v>4.7643012917295762</v>
      </c>
      <c r="H159">
        <v>85.908404630095632</v>
      </c>
      <c r="I159">
        <v>0</v>
      </c>
      <c r="J159">
        <v>28.3</v>
      </c>
      <c r="K159">
        <v>66.826805834929971</v>
      </c>
      <c r="L159">
        <v>23.9</v>
      </c>
      <c r="M159" s="2">
        <v>10.4609995</v>
      </c>
      <c r="N159">
        <v>-1.7000000000000001E-2</v>
      </c>
      <c r="O159" s="4">
        <v>157.39127999999999</v>
      </c>
      <c r="P159">
        <v>17.606691540572243</v>
      </c>
    </row>
    <row r="160" spans="2:16" x14ac:dyDescent="0.3">
      <c r="B160" t="s">
        <v>7</v>
      </c>
      <c r="C160">
        <f t="shared" ref="C160:C178" si="6">C159+1</f>
        <v>2003</v>
      </c>
      <c r="D160">
        <v>1.1222594376548092</v>
      </c>
      <c r="E160">
        <v>380.50582881244065</v>
      </c>
      <c r="F160">
        <v>40.17</v>
      </c>
      <c r="G160">
        <v>3.6302688823906997</v>
      </c>
      <c r="H160">
        <v>85.906854004707228</v>
      </c>
      <c r="I160">
        <v>0</v>
      </c>
      <c r="J160">
        <v>30.5</v>
      </c>
      <c r="K160">
        <v>67.691220606786089</v>
      </c>
      <c r="L160">
        <v>23.3</v>
      </c>
      <c r="M160" s="2">
        <v>10.518000000000001</v>
      </c>
      <c r="N160">
        <v>7.03</v>
      </c>
      <c r="O160" s="4">
        <v>181.33936</v>
      </c>
      <c r="P160">
        <v>11.830015952994703</v>
      </c>
    </row>
    <row r="161" spans="2:16" x14ac:dyDescent="0.3">
      <c r="B161" t="s">
        <v>7</v>
      </c>
      <c r="C161">
        <f t="shared" si="6"/>
        <v>2004</v>
      </c>
      <c r="D161">
        <v>1.0991215372930858</v>
      </c>
      <c r="E161">
        <v>433.2338732860004</v>
      </c>
      <c r="F161">
        <v>43.99</v>
      </c>
      <c r="G161">
        <v>3.4608017964467339</v>
      </c>
      <c r="H161">
        <v>85.879400303810854</v>
      </c>
      <c r="I161">
        <v>0</v>
      </c>
      <c r="J161">
        <v>27.7</v>
      </c>
      <c r="K161">
        <v>75.061001137246464</v>
      </c>
      <c r="L161">
        <v>27.2</v>
      </c>
      <c r="M161" s="2">
        <v>10.574999999999999</v>
      </c>
      <c r="N161">
        <v>7.0270000000000001</v>
      </c>
      <c r="O161" s="4">
        <v>240.67920000000001</v>
      </c>
      <c r="P161">
        <v>14.488392772920603</v>
      </c>
    </row>
    <row r="162" spans="2:16" x14ac:dyDescent="0.3">
      <c r="B162" t="s">
        <v>7</v>
      </c>
      <c r="C162">
        <f t="shared" si="6"/>
        <v>2005</v>
      </c>
      <c r="D162">
        <v>1.0872925479986983</v>
      </c>
      <c r="E162">
        <v>476.54819364007665</v>
      </c>
      <c r="F162">
        <v>42.72</v>
      </c>
      <c r="G162">
        <v>10.100060439191457</v>
      </c>
      <c r="H162">
        <v>85.877375595997592</v>
      </c>
      <c r="I162">
        <v>0.98717346047948429</v>
      </c>
      <c r="J162">
        <v>28</v>
      </c>
      <c r="K162">
        <v>72.106588014572964</v>
      </c>
      <c r="L162">
        <v>26.1</v>
      </c>
      <c r="M162" s="2">
        <v>10.632</v>
      </c>
      <c r="N162">
        <v>-0.17599999999999999</v>
      </c>
      <c r="O162" s="4">
        <v>342.92673000000002</v>
      </c>
      <c r="P162">
        <v>16.418207478354635</v>
      </c>
    </row>
    <row r="163" spans="2:16" x14ac:dyDescent="0.3">
      <c r="B163" t="s">
        <v>7</v>
      </c>
      <c r="C163">
        <f t="shared" si="6"/>
        <v>2006</v>
      </c>
      <c r="D163">
        <v>1.071272597800119</v>
      </c>
      <c r="E163">
        <v>543.1135124722191</v>
      </c>
      <c r="F163">
        <v>42.33</v>
      </c>
      <c r="G163">
        <v>10.321558906562005</v>
      </c>
      <c r="H163">
        <v>85.877573504096944</v>
      </c>
      <c r="I163">
        <v>0.87447497073607394</v>
      </c>
      <c r="J163">
        <v>27.8</v>
      </c>
      <c r="K163">
        <v>99.570636405416167</v>
      </c>
      <c r="L163">
        <v>29.4</v>
      </c>
      <c r="M163" s="2">
        <v>10.689</v>
      </c>
      <c r="N163">
        <v>3.1030000000000002</v>
      </c>
      <c r="O163" s="4">
        <v>409.74313000000001</v>
      </c>
      <c r="P163">
        <v>24.195760812160973</v>
      </c>
    </row>
    <row r="164" spans="2:16" x14ac:dyDescent="0.3">
      <c r="B164" t="s">
        <v>7</v>
      </c>
      <c r="C164">
        <f t="shared" si="6"/>
        <v>2007</v>
      </c>
      <c r="D164">
        <v>1.2796141512057302</v>
      </c>
      <c r="E164">
        <v>721.77157754436053</v>
      </c>
      <c r="F164">
        <v>37.08</v>
      </c>
      <c r="G164">
        <v>10.755225893459205</v>
      </c>
      <c r="H164">
        <v>85.879973027646656</v>
      </c>
      <c r="I164">
        <v>0.76871207012811871</v>
      </c>
      <c r="J164">
        <v>24.5</v>
      </c>
      <c r="K164">
        <v>108.08477957711789</v>
      </c>
      <c r="L164">
        <v>26.5</v>
      </c>
      <c r="M164" s="2">
        <v>10.745998999999999</v>
      </c>
      <c r="N164">
        <v>8.5429999999999993</v>
      </c>
      <c r="O164" s="4">
        <v>455.31279999999998</v>
      </c>
      <c r="P164">
        <v>26.642997032369092</v>
      </c>
    </row>
    <row r="165" spans="2:16" x14ac:dyDescent="0.3">
      <c r="B165" t="s">
        <v>7</v>
      </c>
      <c r="C165">
        <f t="shared" si="6"/>
        <v>2008</v>
      </c>
      <c r="D165">
        <v>1.4710093332448411</v>
      </c>
      <c r="E165">
        <v>966.38856937049354</v>
      </c>
      <c r="F165">
        <v>27.56</v>
      </c>
      <c r="G165">
        <v>11.324115701077275</v>
      </c>
      <c r="H165">
        <v>85.876664687420472</v>
      </c>
      <c r="I165">
        <v>0.91610823649164475</v>
      </c>
      <c r="J165">
        <v>22</v>
      </c>
      <c r="K165">
        <v>115.33166129817296</v>
      </c>
      <c r="L165">
        <v>25.3</v>
      </c>
      <c r="M165" s="2">
        <v>10.8029995</v>
      </c>
      <c r="N165">
        <v>7.5659999999999998</v>
      </c>
      <c r="O165" s="4">
        <v>611.72064</v>
      </c>
      <c r="P165">
        <v>28.948960034980232</v>
      </c>
    </row>
    <row r="166" spans="2:16" x14ac:dyDescent="0.3">
      <c r="B166" t="s">
        <v>7</v>
      </c>
      <c r="C166">
        <f t="shared" si="6"/>
        <v>2009</v>
      </c>
      <c r="D166">
        <v>1.3064872756878332</v>
      </c>
      <c r="E166">
        <v>870.1988945469169</v>
      </c>
      <c r="F166">
        <v>30.46</v>
      </c>
      <c r="G166">
        <v>3.4828115131282145</v>
      </c>
      <c r="H166">
        <v>92.186231164847072</v>
      </c>
      <c r="I166">
        <v>3.6091311016872685</v>
      </c>
      <c r="J166">
        <v>24.7</v>
      </c>
      <c r="K166">
        <v>100.48908996143085</v>
      </c>
      <c r="L166">
        <v>24.6</v>
      </c>
      <c r="M166" s="2">
        <v>10.86</v>
      </c>
      <c r="N166">
        <v>2.8860000000000001</v>
      </c>
      <c r="O166" s="4">
        <v>387.89992999999998</v>
      </c>
      <c r="P166">
        <v>27.270355411834341</v>
      </c>
    </row>
    <row r="167" spans="2:16" x14ac:dyDescent="0.3">
      <c r="B167" t="s">
        <v>7</v>
      </c>
      <c r="C167">
        <f t="shared" si="6"/>
        <v>2010</v>
      </c>
      <c r="D167">
        <v>1.2082730404043562</v>
      </c>
      <c r="E167">
        <v>876.95447644035426</v>
      </c>
      <c r="F167">
        <v>34.69</v>
      </c>
      <c r="G167">
        <v>4.9917355371900829</v>
      </c>
      <c r="H167">
        <v>91.801652892561975</v>
      </c>
      <c r="I167">
        <v>1.7107438016528926</v>
      </c>
      <c r="J167">
        <v>25.6</v>
      </c>
      <c r="K167">
        <v>103.85115146211383</v>
      </c>
      <c r="L167">
        <v>24.6</v>
      </c>
      <c r="M167" s="2">
        <v>10.959614</v>
      </c>
      <c r="N167">
        <v>-0.47199999999999998</v>
      </c>
      <c r="O167" s="4">
        <v>500.01101999999997</v>
      </c>
      <c r="P167">
        <v>27.401593597656298</v>
      </c>
    </row>
    <row r="168" spans="2:16" x14ac:dyDescent="0.3">
      <c r="B168" t="s">
        <v>7</v>
      </c>
      <c r="C168">
        <f t="shared" si="6"/>
        <v>2011</v>
      </c>
      <c r="D168">
        <v>1.4250024384364655</v>
      </c>
      <c r="E168">
        <v>1117.4017435018479</v>
      </c>
      <c r="F168">
        <v>36.729999999999997</v>
      </c>
      <c r="G168">
        <v>4.1892070193956989</v>
      </c>
      <c r="H168">
        <v>93.277477239741387</v>
      </c>
      <c r="I168">
        <v>1.5239477503628447</v>
      </c>
      <c r="J168">
        <v>26</v>
      </c>
      <c r="K168">
        <v>100.6814393415693</v>
      </c>
      <c r="L168">
        <v>23.5</v>
      </c>
      <c r="M168" s="2">
        <v>11.059229</v>
      </c>
      <c r="N168">
        <v>5.9560000000000004</v>
      </c>
      <c r="O168" s="4">
        <v>699.77544999999998</v>
      </c>
      <c r="P168">
        <v>25.472963829740365</v>
      </c>
    </row>
    <row r="169" spans="2:16" x14ac:dyDescent="0.3">
      <c r="B169" t="s">
        <v>7</v>
      </c>
      <c r="C169">
        <f t="shared" si="6"/>
        <v>2012</v>
      </c>
      <c r="D169">
        <v>1.8473035394428527</v>
      </c>
      <c r="E169">
        <v>1168.6224467544575</v>
      </c>
      <c r="F169">
        <v>29.49</v>
      </c>
      <c r="G169">
        <v>4.7995780590717292</v>
      </c>
      <c r="H169">
        <v>93.479694092827003</v>
      </c>
      <c r="I169">
        <v>1.1867088607594938</v>
      </c>
      <c r="J169">
        <v>22.4</v>
      </c>
      <c r="K169">
        <v>110.03546974293599</v>
      </c>
      <c r="L169">
        <v>23.1</v>
      </c>
      <c r="M169" s="2">
        <v>11.158842999999999</v>
      </c>
      <c r="N169">
        <v>-8.7999999999999995E-2</v>
      </c>
      <c r="O169" s="4">
        <v>702.38007000000005</v>
      </c>
      <c r="P169">
        <v>34.961073696666972</v>
      </c>
    </row>
    <row r="170" spans="2:16" x14ac:dyDescent="0.3">
      <c r="B170" t="s">
        <v>7</v>
      </c>
      <c r="C170">
        <f t="shared" si="6"/>
        <v>2013</v>
      </c>
      <c r="D170">
        <v>1.6767091039699507</v>
      </c>
      <c r="E170">
        <v>1269.6630346434772</v>
      </c>
      <c r="F170">
        <v>28.9</v>
      </c>
      <c r="G170">
        <v>5.6098779530368992</v>
      </c>
      <c r="H170">
        <v>93.476554136035972</v>
      </c>
      <c r="I170">
        <v>0.72086217971593747</v>
      </c>
      <c r="J170">
        <v>24.8</v>
      </c>
      <c r="K170">
        <v>110.81066864811984</v>
      </c>
      <c r="L170">
        <v>23.8</v>
      </c>
      <c r="M170" s="2">
        <v>11.258457</v>
      </c>
      <c r="N170">
        <v>10.914999999999999</v>
      </c>
      <c r="O170" s="4">
        <v>683.44029999999998</v>
      </c>
      <c r="P170">
        <v>33.898835558527736</v>
      </c>
    </row>
    <row r="171" spans="2:16" x14ac:dyDescent="0.3">
      <c r="B171" t="s">
        <v>7</v>
      </c>
      <c r="C171">
        <f t="shared" si="6"/>
        <v>2014</v>
      </c>
      <c r="D171">
        <v>1.6833484370068446</v>
      </c>
      <c r="E171">
        <v>1264.5266882389074</v>
      </c>
      <c r="F171">
        <v>28</v>
      </c>
      <c r="G171">
        <v>7.3634367279714521</v>
      </c>
      <c r="H171">
        <v>91.257205599780406</v>
      </c>
      <c r="I171">
        <v>0.57644798243206141</v>
      </c>
      <c r="J171">
        <v>26.6</v>
      </c>
      <c r="K171">
        <v>102.1544641252427</v>
      </c>
      <c r="L171">
        <v>22.9</v>
      </c>
      <c r="M171" s="2">
        <v>11.358072</v>
      </c>
      <c r="N171">
        <v>4.024</v>
      </c>
      <c r="O171" s="4">
        <v>622.35059999999999</v>
      </c>
      <c r="P171">
        <v>36.756727078518772</v>
      </c>
    </row>
    <row r="172" spans="2:16" x14ac:dyDescent="0.3">
      <c r="B172" t="s">
        <v>7</v>
      </c>
      <c r="C172">
        <f t="shared" si="6"/>
        <v>2015</v>
      </c>
      <c r="D172">
        <v>1.7079699524969718</v>
      </c>
      <c r="E172">
        <v>1105.6519384426072</v>
      </c>
      <c r="F172">
        <v>23.97</v>
      </c>
      <c r="G172">
        <v>13.215656178050653</v>
      </c>
      <c r="H172">
        <v>85.188027628549506</v>
      </c>
      <c r="I172">
        <v>0.29163468917881813</v>
      </c>
      <c r="J172">
        <v>23.5</v>
      </c>
      <c r="K172">
        <v>82.522514419170363</v>
      </c>
      <c r="L172">
        <v>24.8</v>
      </c>
      <c r="M172" s="2">
        <v>11.457686000000001</v>
      </c>
      <c r="N172">
        <v>3.8759999999999999</v>
      </c>
      <c r="O172" s="4">
        <v>329.50225999999998</v>
      </c>
      <c r="P172">
        <v>34.671469262657801</v>
      </c>
    </row>
    <row r="173" spans="2:16" x14ac:dyDescent="0.3">
      <c r="B173" t="s">
        <v>7</v>
      </c>
      <c r="C173">
        <f t="shared" si="6"/>
        <v>2016</v>
      </c>
      <c r="D173">
        <v>1.577468310236622</v>
      </c>
      <c r="E173">
        <v>1103.2748942841188</v>
      </c>
      <c r="F173">
        <v>25.63</v>
      </c>
      <c r="G173">
        <v>11.740310662041924</v>
      </c>
      <c r="H173">
        <v>86.668677424219581</v>
      </c>
      <c r="I173">
        <v>0.15834715729150958</v>
      </c>
      <c r="J173">
        <v>22.2</v>
      </c>
      <c r="K173">
        <v>81.798355811670547</v>
      </c>
      <c r="L173">
        <v>22.9</v>
      </c>
      <c r="M173" s="2">
        <v>11.557301000000001</v>
      </c>
      <c r="N173">
        <v>4.3360000000000003</v>
      </c>
      <c r="O173" s="4">
        <v>275.07916</v>
      </c>
      <c r="P173">
        <v>33.939179293735116</v>
      </c>
    </row>
    <row r="174" spans="2:16" x14ac:dyDescent="0.3">
      <c r="B174" t="s">
        <v>7</v>
      </c>
      <c r="C174">
        <f t="shared" si="6"/>
        <v>2017</v>
      </c>
      <c r="D174">
        <v>1.5280901441896042</v>
      </c>
      <c r="E174">
        <v>1221.3904680708185</v>
      </c>
      <c r="F174">
        <v>31.76</v>
      </c>
      <c r="G174">
        <v>7.4711532263263072</v>
      </c>
      <c r="H174">
        <v>91.555469606136782</v>
      </c>
      <c r="I174">
        <v>0.19983239863340424</v>
      </c>
      <c r="J174">
        <v>24.7</v>
      </c>
      <c r="K174">
        <v>81.254706862538669</v>
      </c>
      <c r="L174">
        <v>23.3</v>
      </c>
      <c r="M174" s="2">
        <v>11.656916000000001</v>
      </c>
      <c r="N174">
        <v>4.74</v>
      </c>
      <c r="O174" s="4">
        <v>340.85962000000001</v>
      </c>
      <c r="P174">
        <v>32.902091462436459</v>
      </c>
    </row>
    <row r="175" spans="2:16" x14ac:dyDescent="0.3">
      <c r="B175" t="s">
        <v>7</v>
      </c>
      <c r="C175">
        <f t="shared" si="6"/>
        <v>2018</v>
      </c>
      <c r="D175">
        <v>1.7802078466139226</v>
      </c>
      <c r="E175">
        <v>1283.520303741702</v>
      </c>
      <c r="F175">
        <v>27.02</v>
      </c>
      <c r="G175">
        <v>7.0402576489533004</v>
      </c>
      <c r="H175">
        <v>92.225442834138477</v>
      </c>
      <c r="I175">
        <v>0.21256038647342995</v>
      </c>
      <c r="J175">
        <v>23.4</v>
      </c>
      <c r="K175">
        <v>86.191614484103567</v>
      </c>
      <c r="L175">
        <v>23.6</v>
      </c>
      <c r="M175" s="2">
        <v>11.75653</v>
      </c>
      <c r="N175">
        <v>3.4590000000000001</v>
      </c>
      <c r="O175" s="4">
        <v>448.52600000000001</v>
      </c>
      <c r="P175">
        <v>36.01662915254618</v>
      </c>
    </row>
    <row r="176" spans="2:16" x14ac:dyDescent="0.3">
      <c r="B176" t="s">
        <v>7</v>
      </c>
      <c r="C176">
        <f t="shared" si="6"/>
        <v>2019</v>
      </c>
      <c r="D176">
        <v>1.5518016039243658</v>
      </c>
      <c r="E176">
        <v>1421.9992750410186</v>
      </c>
      <c r="F176">
        <v>29.65</v>
      </c>
      <c r="G176">
        <v>7.4826331458815742</v>
      </c>
      <c r="H176">
        <v>91.690373800860073</v>
      </c>
      <c r="I176">
        <v>0.22494211048627194</v>
      </c>
      <c r="J176">
        <v>28.3</v>
      </c>
      <c r="K176">
        <v>74.429571250790502</v>
      </c>
      <c r="L176">
        <v>25.8</v>
      </c>
      <c r="M176" s="2">
        <v>11.858758</v>
      </c>
      <c r="N176">
        <v>4.601</v>
      </c>
      <c r="O176" s="4">
        <v>403.87164000000001</v>
      </c>
      <c r="P176">
        <v>34.446263634239692</v>
      </c>
    </row>
    <row r="177" spans="2:16" x14ac:dyDescent="0.3">
      <c r="B177" t="s">
        <v>7</v>
      </c>
      <c r="C177">
        <f t="shared" si="6"/>
        <v>2020</v>
      </c>
      <c r="D177">
        <v>1.3838351522820755</v>
      </c>
      <c r="E177">
        <v>1229.5176660290749</v>
      </c>
      <c r="F177">
        <v>31.78</v>
      </c>
      <c r="G177">
        <v>8.3484809140482987</v>
      </c>
      <c r="H177">
        <v>90.749156063360175</v>
      </c>
      <c r="I177">
        <v>0.34406647623993769</v>
      </c>
      <c r="J177">
        <v>30</v>
      </c>
      <c r="K177">
        <v>68.823186030828126</v>
      </c>
      <c r="L177">
        <v>24</v>
      </c>
      <c r="M177" s="2">
        <v>11.961874999999999</v>
      </c>
      <c r="N177">
        <v>-7.149</v>
      </c>
      <c r="O177" s="4">
        <v>263.15481999999997</v>
      </c>
      <c r="P177">
        <v>25.030491398471067</v>
      </c>
    </row>
    <row r="178" spans="2:16" x14ac:dyDescent="0.3">
      <c r="B178" t="s">
        <v>7</v>
      </c>
      <c r="C178">
        <f t="shared" si="6"/>
        <v>2021</v>
      </c>
      <c r="D178">
        <v>1.5347622556203095</v>
      </c>
      <c r="E178">
        <v>1349.9973065054235</v>
      </c>
      <c r="F178">
        <v>27.29</v>
      </c>
      <c r="G178">
        <v>13.033425815827718</v>
      </c>
      <c r="H178">
        <v>85.592548553309555</v>
      </c>
      <c r="I178">
        <v>0.2708415906989034</v>
      </c>
      <c r="J178">
        <v>27.6</v>
      </c>
      <c r="K178">
        <v>90.08411001945062</v>
      </c>
      <c r="L178">
        <v>24.2</v>
      </c>
      <c r="M178" s="2">
        <v>12.065887999999999</v>
      </c>
      <c r="N178">
        <v>5.5069999999999997</v>
      </c>
      <c r="O178" s="4">
        <v>446.02163999999999</v>
      </c>
      <c r="P178">
        <v>26.493665551814686</v>
      </c>
    </row>
    <row r="179" spans="2:16" x14ac:dyDescent="0.3">
      <c r="B179" t="s">
        <v>8</v>
      </c>
      <c r="C179">
        <v>2000</v>
      </c>
      <c r="D179">
        <v>3.33092730007635</v>
      </c>
      <c r="E179">
        <v>3300.636349285588</v>
      </c>
      <c r="F179">
        <v>31.85</v>
      </c>
      <c r="G179">
        <v>0</v>
      </c>
      <c r="H179">
        <v>5.6367614879649892</v>
      </c>
      <c r="I179">
        <v>5.7330415754923409</v>
      </c>
      <c r="J179">
        <v>17.2</v>
      </c>
      <c r="K179">
        <v>80.228933553767348</v>
      </c>
      <c r="L179">
        <v>24.7</v>
      </c>
      <c r="M179" s="2">
        <v>10.948380999999999</v>
      </c>
      <c r="N179">
        <v>3.3610000000000002</v>
      </c>
      <c r="O179" s="4">
        <v>179.23068000000001</v>
      </c>
      <c r="P179">
        <v>19.14462233290919</v>
      </c>
    </row>
    <row r="180" spans="2:16" x14ac:dyDescent="0.3">
      <c r="B180" t="s">
        <v>8</v>
      </c>
      <c r="C180">
        <v>2001</v>
      </c>
      <c r="D180">
        <v>3.5701382210187913</v>
      </c>
      <c r="E180">
        <v>3532.5278736324221</v>
      </c>
      <c r="F180">
        <v>36.69</v>
      </c>
      <c r="G180">
        <v>0</v>
      </c>
      <c r="H180">
        <v>4.7567347492705432</v>
      </c>
      <c r="I180">
        <v>4.8856619393363641</v>
      </c>
      <c r="J180">
        <v>17.600000000000001</v>
      </c>
      <c r="K180">
        <v>89.195113633451555</v>
      </c>
      <c r="L180">
        <v>24.9</v>
      </c>
      <c r="M180" s="2">
        <v>11.132706000000001</v>
      </c>
      <c r="N180">
        <v>6.6349999999999998</v>
      </c>
      <c r="O180" s="4">
        <v>153.74719999999999</v>
      </c>
      <c r="P180">
        <v>19.374614019678273</v>
      </c>
    </row>
    <row r="181" spans="2:16" x14ac:dyDescent="0.3">
      <c r="B181" t="s">
        <v>8</v>
      </c>
      <c r="C181">
        <f>C180+1</f>
        <v>2002</v>
      </c>
      <c r="D181">
        <v>3.6219742456362307</v>
      </c>
      <c r="E181">
        <v>4148.1309148501487</v>
      </c>
      <c r="F181">
        <v>42.57</v>
      </c>
      <c r="G181">
        <v>0</v>
      </c>
      <c r="H181">
        <v>4.4072004965859719</v>
      </c>
      <c r="I181">
        <v>3.0867332543310195</v>
      </c>
      <c r="J181">
        <v>17.899999999999999</v>
      </c>
      <c r="K181">
        <v>92.310109515382294</v>
      </c>
      <c r="L181">
        <v>24.9</v>
      </c>
      <c r="M181" s="2">
        <v>11.317029</v>
      </c>
      <c r="N181">
        <v>6.5309999999999997</v>
      </c>
      <c r="O181" s="4">
        <v>157.39127999999999</v>
      </c>
      <c r="P181">
        <v>21.064433775953042</v>
      </c>
    </row>
    <row r="182" spans="2:16" x14ac:dyDescent="0.3">
      <c r="B182" t="s">
        <v>8</v>
      </c>
      <c r="C182">
        <f t="shared" ref="C182:C200" si="7">C181+1</f>
        <v>2003</v>
      </c>
      <c r="D182">
        <v>3.6578684843375799</v>
      </c>
      <c r="E182">
        <v>5507.4743418765238</v>
      </c>
      <c r="F182">
        <v>44.42</v>
      </c>
      <c r="G182">
        <v>0</v>
      </c>
      <c r="H182">
        <v>5.0543924466338259</v>
      </c>
      <c r="I182">
        <v>1.6779556650246306</v>
      </c>
      <c r="J182">
        <v>18.100000000000001</v>
      </c>
      <c r="K182">
        <v>90.195233350569382</v>
      </c>
      <c r="L182">
        <v>27.9</v>
      </c>
      <c r="M182" s="2">
        <v>11.501352000000001</v>
      </c>
      <c r="N182">
        <v>10.532</v>
      </c>
      <c r="O182" s="4">
        <v>181.33936</v>
      </c>
      <c r="P182">
        <v>22.231769818488921</v>
      </c>
    </row>
    <row r="183" spans="2:16" x14ac:dyDescent="0.3">
      <c r="B183" t="s">
        <v>8</v>
      </c>
      <c r="C183">
        <f t="shared" si="7"/>
        <v>2004</v>
      </c>
      <c r="D183">
        <v>3.868999059837285</v>
      </c>
      <c r="E183">
        <v>6734.5748706194609</v>
      </c>
      <c r="F183">
        <v>42.76</v>
      </c>
      <c r="G183">
        <v>0</v>
      </c>
      <c r="H183">
        <v>4.892601431980907</v>
      </c>
      <c r="I183">
        <v>1.872989519560029</v>
      </c>
      <c r="J183">
        <v>18.100000000000001</v>
      </c>
      <c r="K183">
        <v>95.364917514507354</v>
      </c>
      <c r="L183">
        <v>27.9</v>
      </c>
      <c r="M183" s="2">
        <v>11.685677</v>
      </c>
      <c r="N183">
        <v>6.3179999999999996</v>
      </c>
      <c r="O183" s="4">
        <v>240.67920000000001</v>
      </c>
      <c r="P183">
        <v>23.440931685145184</v>
      </c>
    </row>
    <row r="184" spans="2:16" x14ac:dyDescent="0.3">
      <c r="B184" t="s">
        <v>8</v>
      </c>
      <c r="C184">
        <f t="shared" si="7"/>
        <v>2005</v>
      </c>
      <c r="D184">
        <v>4.2009879224494124</v>
      </c>
      <c r="E184">
        <v>7857.0314878649178</v>
      </c>
      <c r="F184">
        <v>31.38</v>
      </c>
      <c r="G184">
        <v>0</v>
      </c>
      <c r="H184">
        <v>5.5465367965367971</v>
      </c>
      <c r="I184">
        <v>2.712391774891775</v>
      </c>
      <c r="J184">
        <v>17.5</v>
      </c>
      <c r="K184">
        <v>104.78752334416089</v>
      </c>
      <c r="L184">
        <v>27.2</v>
      </c>
      <c r="M184" s="2">
        <v>11.87</v>
      </c>
      <c r="N184">
        <v>8.1850000000000005</v>
      </c>
      <c r="O184" s="4">
        <v>342.92673000000002</v>
      </c>
      <c r="P184">
        <v>24.408543114697167</v>
      </c>
    </row>
    <row r="185" spans="2:16" x14ac:dyDescent="0.3">
      <c r="B185" t="s">
        <v>8</v>
      </c>
      <c r="C185">
        <f t="shared" si="7"/>
        <v>2006</v>
      </c>
      <c r="D185">
        <v>4.3408241636082225</v>
      </c>
      <c r="E185">
        <v>9210.1011822941291</v>
      </c>
      <c r="F185">
        <v>26.79</v>
      </c>
      <c r="G185">
        <v>8.0115366127223205E-3</v>
      </c>
      <c r="H185">
        <v>6.4252523634033016</v>
      </c>
      <c r="I185">
        <v>2.6357955455856437</v>
      </c>
      <c r="J185">
        <v>17.5</v>
      </c>
      <c r="K185">
        <v>111.28564716553122</v>
      </c>
      <c r="L185">
        <v>26.8</v>
      </c>
      <c r="M185" s="2">
        <v>12.01</v>
      </c>
      <c r="N185">
        <v>7.3010000000000002</v>
      </c>
      <c r="O185" s="4">
        <v>409.74313000000001</v>
      </c>
      <c r="P185">
        <v>26.880263057783395</v>
      </c>
    </row>
    <row r="186" spans="2:16" x14ac:dyDescent="0.3">
      <c r="B186" t="s">
        <v>8</v>
      </c>
      <c r="C186">
        <f t="shared" si="7"/>
        <v>2007</v>
      </c>
      <c r="D186">
        <v>4.8180078940511137</v>
      </c>
      <c r="E186">
        <v>12295.121277936596</v>
      </c>
      <c r="F186">
        <v>28.06</v>
      </c>
      <c r="G186">
        <v>8.5671449989291062E-2</v>
      </c>
      <c r="H186">
        <v>6.8394374241450704</v>
      </c>
      <c r="I186">
        <v>2.9128292996358964</v>
      </c>
      <c r="J186">
        <v>17.100000000000001</v>
      </c>
      <c r="K186">
        <v>104.59825672355065</v>
      </c>
      <c r="L186">
        <v>26.8</v>
      </c>
      <c r="M186" s="2">
        <v>12.16</v>
      </c>
      <c r="N186">
        <v>11.1</v>
      </c>
      <c r="O186" s="4">
        <v>455.31279999999998</v>
      </c>
      <c r="P186">
        <v>32.439674996927749</v>
      </c>
    </row>
    <row r="187" spans="2:16" x14ac:dyDescent="0.3">
      <c r="B187" t="s">
        <v>8</v>
      </c>
      <c r="C187">
        <f t="shared" si="7"/>
        <v>2008</v>
      </c>
      <c r="D187">
        <v>4.9500176816496371</v>
      </c>
      <c r="E187">
        <v>14955.534546292096</v>
      </c>
      <c r="F187">
        <v>28.02</v>
      </c>
      <c r="G187">
        <v>7.1875224610076904E-3</v>
      </c>
      <c r="H187">
        <v>7.1012721914755979</v>
      </c>
      <c r="I187">
        <v>4.0681377129303531</v>
      </c>
      <c r="J187">
        <v>18.3</v>
      </c>
      <c r="K187">
        <v>114.45445223426813</v>
      </c>
      <c r="L187">
        <v>27.6</v>
      </c>
      <c r="M187" s="2">
        <v>12.3</v>
      </c>
      <c r="N187">
        <v>2.1800000000000002</v>
      </c>
      <c r="O187" s="4">
        <v>611.72064</v>
      </c>
      <c r="P187">
        <v>28.246152078126258</v>
      </c>
    </row>
    <row r="188" spans="2:16" x14ac:dyDescent="0.3">
      <c r="B188" t="s">
        <v>8</v>
      </c>
      <c r="C188">
        <f t="shared" si="7"/>
        <v>2009</v>
      </c>
      <c r="D188">
        <v>4.176683794321443</v>
      </c>
      <c r="E188">
        <v>11854.371105309569</v>
      </c>
      <c r="F188">
        <v>33.409999999999997</v>
      </c>
      <c r="G188">
        <v>0</v>
      </c>
      <c r="H188">
        <v>7.4163302513348084</v>
      </c>
      <c r="I188">
        <v>4.7857793983591614</v>
      </c>
      <c r="J188">
        <v>20.100000000000001</v>
      </c>
      <c r="K188">
        <v>92.701892827456277</v>
      </c>
      <c r="L188">
        <v>27.6</v>
      </c>
      <c r="M188" s="2">
        <v>12.32</v>
      </c>
      <c r="N188">
        <v>-14.503</v>
      </c>
      <c r="O188" s="4">
        <v>387.89992999999998</v>
      </c>
      <c r="P188">
        <v>12.979845334619142</v>
      </c>
    </row>
    <row r="189" spans="2:16" x14ac:dyDescent="0.3">
      <c r="B189" t="s">
        <v>8</v>
      </c>
      <c r="C189">
        <f t="shared" si="7"/>
        <v>2010</v>
      </c>
      <c r="D189">
        <v>4.5333295450656417</v>
      </c>
      <c r="E189">
        <v>11829.122609457041</v>
      </c>
      <c r="F189">
        <v>1</v>
      </c>
      <c r="G189">
        <v>0</v>
      </c>
      <c r="H189">
        <v>22.525656635936684</v>
      </c>
      <c r="I189">
        <v>11.254131153244042</v>
      </c>
      <c r="J189">
        <v>21.5</v>
      </c>
      <c r="K189">
        <v>120.50560922878628</v>
      </c>
      <c r="L189">
        <v>24.8</v>
      </c>
      <c r="M189" s="2">
        <v>12.46</v>
      </c>
      <c r="N189">
        <v>0.27400000000000002</v>
      </c>
      <c r="O189" s="4">
        <v>500.01101999999997</v>
      </c>
      <c r="P189">
        <v>17.857801023546099</v>
      </c>
    </row>
    <row r="190" spans="2:16" x14ac:dyDescent="0.3">
      <c r="B190" t="s">
        <v>8</v>
      </c>
      <c r="C190">
        <f t="shared" si="7"/>
        <v>2011</v>
      </c>
      <c r="D190">
        <v>4.729113656515687</v>
      </c>
      <c r="E190">
        <v>14261.843378732543</v>
      </c>
      <c r="F190">
        <v>1.17</v>
      </c>
      <c r="G190">
        <v>0</v>
      </c>
      <c r="H190">
        <v>21.899626710908336</v>
      </c>
      <c r="I190">
        <v>4.3343011198672752</v>
      </c>
      <c r="J190">
        <v>22.7</v>
      </c>
      <c r="K190">
        <v>138.52244895885684</v>
      </c>
      <c r="L190">
        <v>24.5</v>
      </c>
      <c r="M190" s="2">
        <v>12.57</v>
      </c>
      <c r="N190">
        <v>6.343</v>
      </c>
      <c r="O190" s="4">
        <v>699.77544999999998</v>
      </c>
      <c r="P190">
        <v>22.367202907755402</v>
      </c>
    </row>
    <row r="191" spans="2:16" x14ac:dyDescent="0.3">
      <c r="B191" t="s">
        <v>8</v>
      </c>
      <c r="C191">
        <f t="shared" si="7"/>
        <v>2012</v>
      </c>
      <c r="D191">
        <v>4.8479177448756978</v>
      </c>
      <c r="E191">
        <v>14288.185349313851</v>
      </c>
      <c r="F191">
        <v>1.18</v>
      </c>
      <c r="G191">
        <v>0</v>
      </c>
      <c r="H191">
        <v>18.580210192345824</v>
      </c>
      <c r="I191">
        <v>4.7590719809637116</v>
      </c>
      <c r="J191">
        <v>23.9</v>
      </c>
      <c r="K191">
        <v>144.17444467130338</v>
      </c>
      <c r="L191">
        <v>26.8</v>
      </c>
      <c r="M191" s="2">
        <v>12.56</v>
      </c>
      <c r="N191">
        <v>4.3760000000000003</v>
      </c>
      <c r="O191" s="4">
        <v>702.38007000000005</v>
      </c>
      <c r="P191">
        <v>20.270408046153193</v>
      </c>
    </row>
    <row r="192" spans="2:16" x14ac:dyDescent="0.3">
      <c r="B192" t="s">
        <v>8</v>
      </c>
      <c r="C192">
        <f t="shared" si="7"/>
        <v>2013</v>
      </c>
      <c r="D192">
        <v>4.5130941325453779</v>
      </c>
      <c r="E192">
        <v>15636.525258604766</v>
      </c>
      <c r="F192">
        <v>1.47</v>
      </c>
      <c r="G192">
        <v>0</v>
      </c>
      <c r="H192">
        <v>22.44855102897942</v>
      </c>
      <c r="I192">
        <v>4.3259134817303657</v>
      </c>
      <c r="J192">
        <v>26.3</v>
      </c>
      <c r="K192">
        <v>145.56948497296682</v>
      </c>
      <c r="L192">
        <v>26.9</v>
      </c>
      <c r="M192" s="2">
        <v>12.59</v>
      </c>
      <c r="N192">
        <v>4.0789999999999997</v>
      </c>
      <c r="O192" s="4">
        <v>683.44029999999998</v>
      </c>
      <c r="P192">
        <v>20.418290093082742</v>
      </c>
    </row>
    <row r="193" spans="2:16" x14ac:dyDescent="0.3">
      <c r="B193" t="s">
        <v>8</v>
      </c>
      <c r="C193">
        <f t="shared" si="7"/>
        <v>2014</v>
      </c>
      <c r="D193">
        <v>4.4979782129765473</v>
      </c>
      <c r="E193">
        <v>16446.164718166307</v>
      </c>
      <c r="F193">
        <v>1.4</v>
      </c>
      <c r="G193">
        <v>4.5485558335228563E-2</v>
      </c>
      <c r="H193">
        <v>24.744143734364339</v>
      </c>
      <c r="I193">
        <v>3.6388446668182852</v>
      </c>
      <c r="J193">
        <v>27.7</v>
      </c>
      <c r="K193">
        <v>138.03098050776731</v>
      </c>
      <c r="L193">
        <v>28.9</v>
      </c>
      <c r="M193" s="2">
        <v>12.8</v>
      </c>
      <c r="N193">
        <v>3.7690000000000001</v>
      </c>
      <c r="O193" s="4">
        <v>622.35059999999999</v>
      </c>
      <c r="P193">
        <v>20.300477375402874</v>
      </c>
    </row>
    <row r="194" spans="2:16" x14ac:dyDescent="0.3">
      <c r="B194" t="s">
        <v>8</v>
      </c>
      <c r="C194">
        <f t="shared" si="7"/>
        <v>2015</v>
      </c>
      <c r="D194">
        <v>4.6925759220970429</v>
      </c>
      <c r="E194">
        <v>14269.803987828654</v>
      </c>
      <c r="F194">
        <v>1.52</v>
      </c>
      <c r="G194">
        <v>0</v>
      </c>
      <c r="H194">
        <v>20.758159335090209</v>
      </c>
      <c r="I194">
        <v>5.5747009933103584</v>
      </c>
      <c r="J194">
        <v>29</v>
      </c>
      <c r="K194">
        <v>128.89930006573732</v>
      </c>
      <c r="L194">
        <v>28.6</v>
      </c>
      <c r="M194" s="2">
        <v>12.96</v>
      </c>
      <c r="N194">
        <v>2.8450000000000002</v>
      </c>
      <c r="O194" s="4">
        <v>329.50225999999998</v>
      </c>
      <c r="P194">
        <v>22.555226911538064</v>
      </c>
    </row>
    <row r="195" spans="2:16" x14ac:dyDescent="0.3">
      <c r="B195" t="s">
        <v>8</v>
      </c>
      <c r="C195">
        <f t="shared" si="7"/>
        <v>2016</v>
      </c>
      <c r="D195">
        <v>4.6988782984195394</v>
      </c>
      <c r="E195">
        <v>14934.270284042841</v>
      </c>
      <c r="F195">
        <v>2</v>
      </c>
      <c r="G195">
        <v>0</v>
      </c>
      <c r="H195">
        <v>24.472573839662449</v>
      </c>
      <c r="I195">
        <v>5.1804969526488511</v>
      </c>
      <c r="J195">
        <v>31.5</v>
      </c>
      <c r="K195">
        <v>121.91083683758346</v>
      </c>
      <c r="L195">
        <v>29.5</v>
      </c>
      <c r="M195" s="2">
        <v>13.11</v>
      </c>
      <c r="N195">
        <v>2.6139999999999999</v>
      </c>
      <c r="O195" s="4">
        <v>275.07916</v>
      </c>
      <c r="P195">
        <v>20.287639871268663</v>
      </c>
    </row>
    <row r="196" spans="2:16" x14ac:dyDescent="0.3">
      <c r="B196" t="s">
        <v>8</v>
      </c>
      <c r="C196">
        <f t="shared" si="7"/>
        <v>2017</v>
      </c>
      <c r="D196">
        <v>4.9124070977707683</v>
      </c>
      <c r="E196">
        <v>16800.151024609866</v>
      </c>
      <c r="F196">
        <v>2.33</v>
      </c>
      <c r="G196">
        <v>0</v>
      </c>
      <c r="H196">
        <v>28.206352997372818</v>
      </c>
      <c r="I196">
        <v>3.3197993790303317</v>
      </c>
      <c r="J196">
        <v>33.799999999999997</v>
      </c>
      <c r="K196">
        <v>130.15747745852201</v>
      </c>
      <c r="L196">
        <v>28.4</v>
      </c>
      <c r="M196" s="2">
        <v>13.19</v>
      </c>
      <c r="N196">
        <v>4.7050000000000001</v>
      </c>
      <c r="O196" s="4">
        <v>340.85962000000001</v>
      </c>
      <c r="P196">
        <v>20.480115803004033</v>
      </c>
    </row>
    <row r="197" spans="2:16" x14ac:dyDescent="0.3">
      <c r="B197" t="s">
        <v>8</v>
      </c>
      <c r="C197">
        <f t="shared" si="7"/>
        <v>2018</v>
      </c>
      <c r="D197">
        <v>4.9724744608399547</v>
      </c>
      <c r="E197">
        <v>19247.231536796684</v>
      </c>
      <c r="F197">
        <v>1.87</v>
      </c>
      <c r="G197">
        <v>0</v>
      </c>
      <c r="H197">
        <v>27.314155511250355</v>
      </c>
      <c r="I197">
        <v>3.7311307319851896</v>
      </c>
      <c r="J197">
        <v>33.700000000000003</v>
      </c>
      <c r="K197">
        <v>128.70750001694833</v>
      </c>
      <c r="L197">
        <v>27.1</v>
      </c>
      <c r="M197" s="2">
        <v>13.293333000000001</v>
      </c>
      <c r="N197">
        <v>4.8319999999999999</v>
      </c>
      <c r="O197" s="4">
        <v>448.52600000000001</v>
      </c>
      <c r="P197">
        <v>22.406638633890203</v>
      </c>
    </row>
    <row r="198" spans="2:16" x14ac:dyDescent="0.3">
      <c r="B198" t="s">
        <v>8</v>
      </c>
      <c r="C198">
        <f t="shared" si="7"/>
        <v>2019</v>
      </c>
      <c r="D198">
        <v>5.0857514650016418</v>
      </c>
      <c r="E198">
        <v>19608.794394555272</v>
      </c>
      <c r="F198">
        <v>2.19</v>
      </c>
      <c r="G198">
        <v>0</v>
      </c>
      <c r="H198">
        <v>23.847897255099472</v>
      </c>
      <c r="I198">
        <v>1.6872324351548729</v>
      </c>
      <c r="J198">
        <v>33.5</v>
      </c>
      <c r="K198">
        <v>125.01345598643678</v>
      </c>
      <c r="L198">
        <v>27.5</v>
      </c>
      <c r="M198" s="2">
        <v>13.396667000000001</v>
      </c>
      <c r="N198">
        <v>4.7229999999999999</v>
      </c>
      <c r="O198" s="4">
        <v>403.87164000000001</v>
      </c>
      <c r="P198">
        <v>19.5803862338798</v>
      </c>
    </row>
    <row r="199" spans="2:16" x14ac:dyDescent="0.3">
      <c r="B199" t="s">
        <v>8</v>
      </c>
      <c r="C199">
        <f t="shared" si="7"/>
        <v>2020</v>
      </c>
      <c r="D199">
        <v>5.0719674178017193</v>
      </c>
      <c r="E199">
        <v>20428.647815739412</v>
      </c>
      <c r="F199">
        <v>2.27</v>
      </c>
      <c r="G199">
        <v>0</v>
      </c>
      <c r="H199">
        <v>19.575856443719413</v>
      </c>
      <c r="I199">
        <v>2.2294725394235999</v>
      </c>
      <c r="J199">
        <v>31.7</v>
      </c>
      <c r="K199">
        <v>115.19186862120154</v>
      </c>
      <c r="L199">
        <v>28.5</v>
      </c>
      <c r="M199" s="2">
        <v>13.5</v>
      </c>
      <c r="N199">
        <v>4.8000000000000001E-2</v>
      </c>
      <c r="O199" s="4">
        <v>263.15481999999997</v>
      </c>
      <c r="P199">
        <v>16.519822785046344</v>
      </c>
    </row>
    <row r="200" spans="2:16" x14ac:dyDescent="0.3">
      <c r="B200" t="s">
        <v>8</v>
      </c>
      <c r="C200">
        <f t="shared" si="7"/>
        <v>2021</v>
      </c>
      <c r="D200">
        <v>5.1032267713058772</v>
      </c>
      <c r="E200">
        <v>23870.459485172207</v>
      </c>
      <c r="F200">
        <v>2.14</v>
      </c>
      <c r="G200">
        <v>0</v>
      </c>
      <c r="H200">
        <v>21.5242221346987</v>
      </c>
      <c r="I200">
        <v>1.8708152816069319</v>
      </c>
      <c r="J200">
        <v>33.200000000000003</v>
      </c>
      <c r="K200">
        <v>127.0844340402612</v>
      </c>
      <c r="L200">
        <v>29.1</v>
      </c>
      <c r="M200" s="2">
        <v>13.610692</v>
      </c>
      <c r="N200">
        <v>6.3609999999999998</v>
      </c>
      <c r="O200" s="4">
        <v>446.02163999999999</v>
      </c>
      <c r="P200">
        <v>21.835006708402744</v>
      </c>
    </row>
    <row r="201" spans="2:16" x14ac:dyDescent="0.3">
      <c r="B201" t="s">
        <v>9</v>
      </c>
      <c r="C201">
        <v>2000</v>
      </c>
      <c r="D201">
        <v>20.171441668576669</v>
      </c>
      <c r="E201">
        <v>48659.59887532334</v>
      </c>
      <c r="F201">
        <v>0.38</v>
      </c>
      <c r="G201">
        <v>0</v>
      </c>
      <c r="H201">
        <v>74.614065180102912</v>
      </c>
      <c r="I201">
        <v>0</v>
      </c>
      <c r="J201">
        <v>6.8</v>
      </c>
      <c r="K201">
        <v>92.585165233400502</v>
      </c>
      <c r="L201">
        <v>23.3</v>
      </c>
      <c r="M201" s="2">
        <v>10.555999999999999</v>
      </c>
      <c r="N201">
        <v>8.4420000000000002</v>
      </c>
      <c r="O201" s="4">
        <v>179.23068000000001</v>
      </c>
      <c r="P201">
        <v>22.559144301013827</v>
      </c>
    </row>
    <row r="202" spans="2:16" x14ac:dyDescent="0.3">
      <c r="B202" t="s">
        <v>9</v>
      </c>
      <c r="C202">
        <v>2001</v>
      </c>
      <c r="D202">
        <v>21.141045240926339</v>
      </c>
      <c r="E202">
        <v>48440.142015135505</v>
      </c>
      <c r="F202">
        <v>0.35</v>
      </c>
      <c r="G202">
        <v>0</v>
      </c>
      <c r="H202">
        <v>53.732264034546574</v>
      </c>
      <c r="I202">
        <v>0</v>
      </c>
      <c r="J202">
        <v>3.4</v>
      </c>
      <c r="K202">
        <v>103.28446611243034</v>
      </c>
      <c r="L202">
        <v>24.3</v>
      </c>
      <c r="M202" s="3">
        <v>10.73</v>
      </c>
      <c r="N202">
        <v>3.0739999999999998</v>
      </c>
      <c r="O202" s="4">
        <v>153.74719999999999</v>
      </c>
      <c r="P202">
        <v>22.211803413324073</v>
      </c>
    </row>
    <row r="203" spans="2:16" x14ac:dyDescent="0.3">
      <c r="B203" t="s">
        <v>9</v>
      </c>
      <c r="C203">
        <f>C202+1</f>
        <v>2002</v>
      </c>
      <c r="D203">
        <v>22.485123550176496</v>
      </c>
      <c r="E203">
        <v>53005.733920917868</v>
      </c>
      <c r="F203">
        <v>0.28999999999999998</v>
      </c>
      <c r="G203">
        <v>0</v>
      </c>
      <c r="H203">
        <v>26.717144402379667</v>
      </c>
      <c r="I203">
        <v>0</v>
      </c>
      <c r="J203">
        <v>1.3</v>
      </c>
      <c r="K203">
        <v>96.681442439181595</v>
      </c>
      <c r="L203">
        <v>24.7</v>
      </c>
      <c r="M203" s="2">
        <v>10.994999999999999</v>
      </c>
      <c r="N203">
        <v>3.2250000000000001</v>
      </c>
      <c r="O203" s="4">
        <v>157.39127999999999</v>
      </c>
      <c r="P203">
        <v>20.427862931545498</v>
      </c>
    </row>
    <row r="204" spans="2:16" x14ac:dyDescent="0.3">
      <c r="B204" t="s">
        <v>9</v>
      </c>
      <c r="C204">
        <f t="shared" ref="C204:C222" si="8">C203+1</f>
        <v>2003</v>
      </c>
      <c r="D204">
        <v>23.147930828332928</v>
      </c>
      <c r="E204">
        <v>65689.32145369114</v>
      </c>
      <c r="F204">
        <v>0.24</v>
      </c>
      <c r="G204">
        <v>0</v>
      </c>
      <c r="H204">
        <v>25.131179232256283</v>
      </c>
      <c r="I204">
        <v>0</v>
      </c>
      <c r="J204">
        <v>1.3</v>
      </c>
      <c r="K204">
        <v>99.308098587258826</v>
      </c>
      <c r="L204">
        <v>23.6</v>
      </c>
      <c r="M204" s="2">
        <v>11.26</v>
      </c>
      <c r="N204">
        <v>2.62</v>
      </c>
      <c r="O204" s="4">
        <v>181.33936</v>
      </c>
      <c r="P204">
        <v>21.309558247484766</v>
      </c>
    </row>
    <row r="205" spans="2:16" x14ac:dyDescent="0.3">
      <c r="B205" t="s">
        <v>9</v>
      </c>
      <c r="C205">
        <f t="shared" si="8"/>
        <v>2004</v>
      </c>
      <c r="D205">
        <v>25.934140298409719</v>
      </c>
      <c r="E205">
        <v>76544.917086847316</v>
      </c>
      <c r="F205">
        <v>0.31</v>
      </c>
      <c r="G205">
        <v>0</v>
      </c>
      <c r="H205">
        <v>20.667957405614715</v>
      </c>
      <c r="I205">
        <v>0</v>
      </c>
      <c r="J205">
        <v>1.4</v>
      </c>
      <c r="K205">
        <v>103.51108424829198</v>
      </c>
      <c r="L205">
        <v>23.7</v>
      </c>
      <c r="M205" s="2">
        <v>11.352499999999999</v>
      </c>
      <c r="N205">
        <v>4.2300000000000004</v>
      </c>
      <c r="O205" s="4">
        <v>240.67920000000001</v>
      </c>
      <c r="P205">
        <v>21.305319622594133</v>
      </c>
    </row>
    <row r="206" spans="2:16" x14ac:dyDescent="0.3">
      <c r="B206" t="s">
        <v>9</v>
      </c>
      <c r="C206">
        <f t="shared" si="8"/>
        <v>2005</v>
      </c>
      <c r="D206">
        <v>26.043408906221114</v>
      </c>
      <c r="E206">
        <v>80988.137623085844</v>
      </c>
      <c r="F206">
        <v>0.32</v>
      </c>
      <c r="G206">
        <v>0</v>
      </c>
      <c r="H206">
        <v>21.240009687575682</v>
      </c>
      <c r="I206">
        <v>0</v>
      </c>
      <c r="J206">
        <v>1.9</v>
      </c>
      <c r="K206">
        <v>110.76313901508823</v>
      </c>
      <c r="L206">
        <v>24.3</v>
      </c>
      <c r="M206" s="2">
        <v>11.445</v>
      </c>
      <c r="N206">
        <v>2.4830000000000001</v>
      </c>
      <c r="O206" s="4">
        <v>342.92673000000002</v>
      </c>
      <c r="P206">
        <v>21.510257294792183</v>
      </c>
    </row>
    <row r="207" spans="2:16" x14ac:dyDescent="0.3">
      <c r="B207" t="s">
        <v>9</v>
      </c>
      <c r="C207">
        <f t="shared" si="8"/>
        <v>2006</v>
      </c>
      <c r="D207">
        <v>25.267171211733316</v>
      </c>
      <c r="E207">
        <v>90788.800487614484</v>
      </c>
      <c r="F207">
        <v>0.38</v>
      </c>
      <c r="G207">
        <v>0</v>
      </c>
      <c r="H207">
        <v>21.163166397415186</v>
      </c>
      <c r="I207">
        <v>0</v>
      </c>
      <c r="J207">
        <v>2.1</v>
      </c>
      <c r="K207">
        <v>116.81386414801629</v>
      </c>
      <c r="L207">
        <v>24.3</v>
      </c>
      <c r="M207" s="2">
        <v>11.5375</v>
      </c>
      <c r="N207">
        <v>6.016</v>
      </c>
      <c r="O207" s="4">
        <v>409.74313000000001</v>
      </c>
      <c r="P207">
        <v>19.003875488678947</v>
      </c>
    </row>
    <row r="208" spans="2:16" x14ac:dyDescent="0.3">
      <c r="B208" t="s">
        <v>9</v>
      </c>
      <c r="C208">
        <f t="shared" si="8"/>
        <v>2007</v>
      </c>
      <c r="D208">
        <v>23.628886254591212</v>
      </c>
      <c r="E208">
        <v>107475.32029797773</v>
      </c>
      <c r="F208">
        <v>0.42</v>
      </c>
      <c r="G208">
        <v>0</v>
      </c>
      <c r="H208">
        <v>22.944263934016497</v>
      </c>
      <c r="I208">
        <v>0</v>
      </c>
      <c r="J208">
        <v>3.6</v>
      </c>
      <c r="K208">
        <v>98.787685755390982</v>
      </c>
      <c r="L208">
        <v>25</v>
      </c>
      <c r="M208" s="2">
        <v>11.63</v>
      </c>
      <c r="N208">
        <v>8.0990000000000002</v>
      </c>
      <c r="O208" s="4">
        <v>455.31279999999998</v>
      </c>
      <c r="P208">
        <v>19.513325349146136</v>
      </c>
    </row>
    <row r="209" spans="2:16" x14ac:dyDescent="0.3">
      <c r="B209" t="s">
        <v>9</v>
      </c>
      <c r="C209">
        <f t="shared" si="8"/>
        <v>2008</v>
      </c>
      <c r="D209">
        <v>22.946075923462601</v>
      </c>
      <c r="E209">
        <v>120422.1379341569</v>
      </c>
      <c r="F209">
        <v>0.45</v>
      </c>
      <c r="G209">
        <v>0</v>
      </c>
      <c r="H209">
        <v>27.129603598538093</v>
      </c>
      <c r="I209">
        <v>0</v>
      </c>
      <c r="J209">
        <v>4</v>
      </c>
      <c r="K209">
        <v>98.312023292113565</v>
      </c>
      <c r="L209">
        <v>25.7</v>
      </c>
      <c r="M209" s="2">
        <v>12.22</v>
      </c>
      <c r="N209">
        <v>-0.30199999999999999</v>
      </c>
      <c r="O209" s="4">
        <v>611.72064</v>
      </c>
      <c r="P209">
        <v>20.579639480655111</v>
      </c>
    </row>
    <row r="210" spans="2:16" x14ac:dyDescent="0.3">
      <c r="B210" t="s">
        <v>9</v>
      </c>
      <c r="C210">
        <f t="shared" si="8"/>
        <v>2009</v>
      </c>
      <c r="D210">
        <v>21.314307640076095</v>
      </c>
      <c r="E210">
        <v>109419.74695310641</v>
      </c>
      <c r="F210">
        <v>0.43</v>
      </c>
      <c r="G210">
        <v>0</v>
      </c>
      <c r="H210">
        <v>21.45435791645178</v>
      </c>
      <c r="I210">
        <v>0</v>
      </c>
      <c r="J210">
        <v>3.7</v>
      </c>
      <c r="K210">
        <v>85.682618114054947</v>
      </c>
      <c r="L210">
        <v>24.2</v>
      </c>
      <c r="M210" s="2">
        <v>12.81</v>
      </c>
      <c r="N210">
        <v>-3.2389999999999999</v>
      </c>
      <c r="O210" s="4">
        <v>387.89992999999998</v>
      </c>
      <c r="P210">
        <v>16.182900796535421</v>
      </c>
    </row>
    <row r="211" spans="2:16" x14ac:dyDescent="0.3">
      <c r="B211" t="s">
        <v>9</v>
      </c>
      <c r="C211">
        <f t="shared" si="8"/>
        <v>2010</v>
      </c>
      <c r="D211">
        <v>22.119210262095301</v>
      </c>
      <c r="E211">
        <v>110885.99137872107</v>
      </c>
      <c r="F211">
        <v>0.4</v>
      </c>
      <c r="G211">
        <v>0</v>
      </c>
      <c r="H211">
        <v>31.953822696580264</v>
      </c>
      <c r="I211">
        <v>0</v>
      </c>
      <c r="J211">
        <v>3.7</v>
      </c>
      <c r="K211">
        <v>79.766626067109371</v>
      </c>
      <c r="L211">
        <v>23.7</v>
      </c>
      <c r="M211" s="2">
        <v>12.84</v>
      </c>
      <c r="N211">
        <v>3.76</v>
      </c>
      <c r="O211" s="4">
        <v>500.01101999999997</v>
      </c>
      <c r="P211">
        <v>18.083193493624169</v>
      </c>
    </row>
    <row r="212" spans="2:16" x14ac:dyDescent="0.3">
      <c r="B212" t="s">
        <v>9</v>
      </c>
      <c r="C212">
        <f t="shared" si="8"/>
        <v>2011</v>
      </c>
      <c r="D212">
        <v>21.395127202433891</v>
      </c>
      <c r="E212">
        <v>119025.05720346651</v>
      </c>
      <c r="F212">
        <v>0.34</v>
      </c>
      <c r="G212">
        <v>0</v>
      </c>
      <c r="H212">
        <v>30.40904198062433</v>
      </c>
      <c r="I212">
        <v>0</v>
      </c>
      <c r="J212">
        <v>3.8</v>
      </c>
      <c r="K212">
        <v>80.598050532499173</v>
      </c>
      <c r="L212">
        <v>24.4</v>
      </c>
      <c r="M212" s="2">
        <v>12.86</v>
      </c>
      <c r="N212">
        <v>1.044</v>
      </c>
      <c r="O212" s="4">
        <v>699.77544999999998</v>
      </c>
      <c r="P212">
        <v>19.268797706388753</v>
      </c>
    </row>
    <row r="213" spans="2:16" x14ac:dyDescent="0.3">
      <c r="B213" t="s">
        <v>9</v>
      </c>
      <c r="C213">
        <f t="shared" si="8"/>
        <v>2012</v>
      </c>
      <c r="D213">
        <v>20.468936577354381</v>
      </c>
      <c r="E213">
        <v>112584.6762709582</v>
      </c>
      <c r="F213">
        <v>0.48</v>
      </c>
      <c r="G213">
        <v>0</v>
      </c>
      <c r="H213">
        <v>30.372117400419285</v>
      </c>
      <c r="I213">
        <v>0</v>
      </c>
      <c r="J213">
        <v>4.2</v>
      </c>
      <c r="K213">
        <v>77.582478670315183</v>
      </c>
      <c r="L213">
        <v>26.4</v>
      </c>
      <c r="M213" s="2">
        <v>13</v>
      </c>
      <c r="N213">
        <v>1.65</v>
      </c>
      <c r="O213" s="4">
        <v>702.38007000000005</v>
      </c>
      <c r="P213">
        <v>18.752304882247302</v>
      </c>
    </row>
    <row r="214" spans="2:16" x14ac:dyDescent="0.3">
      <c r="B214" t="s">
        <v>9</v>
      </c>
      <c r="C214">
        <f t="shared" si="8"/>
        <v>2013</v>
      </c>
      <c r="D214">
        <v>18.999558303886925</v>
      </c>
      <c r="E214">
        <v>120000.14072985915</v>
      </c>
      <c r="F214">
        <v>0.64</v>
      </c>
      <c r="G214">
        <v>0</v>
      </c>
      <c r="H214">
        <v>40.083073727933545</v>
      </c>
      <c r="I214">
        <v>0</v>
      </c>
      <c r="J214">
        <v>5.7</v>
      </c>
      <c r="K214">
        <v>69.218914210329103</v>
      </c>
      <c r="L214">
        <v>24.2</v>
      </c>
      <c r="M214" s="2">
        <v>13.2</v>
      </c>
      <c r="N214">
        <v>3.1720000000000002</v>
      </c>
      <c r="O214" s="4">
        <v>683.44029999999998</v>
      </c>
      <c r="P214">
        <v>18.145372691423674</v>
      </c>
    </row>
    <row r="215" spans="2:16" x14ac:dyDescent="0.3">
      <c r="B215" t="s">
        <v>9</v>
      </c>
      <c r="C215">
        <f t="shared" si="8"/>
        <v>2014</v>
      </c>
      <c r="D215">
        <v>17.651563221820577</v>
      </c>
      <c r="E215">
        <v>123678.70214327476</v>
      </c>
      <c r="F215">
        <v>0.68</v>
      </c>
      <c r="G215">
        <v>0</v>
      </c>
      <c r="H215">
        <v>39.406207827260459</v>
      </c>
      <c r="I215">
        <v>0</v>
      </c>
      <c r="J215">
        <v>6.8</v>
      </c>
      <c r="K215">
        <v>66.499709450650229</v>
      </c>
      <c r="L215">
        <v>24.2</v>
      </c>
      <c r="M215" s="2">
        <v>13.43</v>
      </c>
      <c r="N215">
        <v>2.6230000000000002</v>
      </c>
      <c r="O215" s="4">
        <v>622.35059999999999</v>
      </c>
      <c r="P215">
        <v>19.093586759573348</v>
      </c>
    </row>
    <row r="216" spans="2:16" x14ac:dyDescent="0.3">
      <c r="B216" t="s">
        <v>9</v>
      </c>
      <c r="C216">
        <f t="shared" si="8"/>
        <v>2015</v>
      </c>
      <c r="D216">
        <v>16.343635227280707</v>
      </c>
      <c r="E216">
        <v>105462.01258442263</v>
      </c>
      <c r="F216">
        <v>0.75</v>
      </c>
      <c r="G216">
        <v>0</v>
      </c>
      <c r="H216">
        <v>55.314533622559658</v>
      </c>
      <c r="I216">
        <v>0</v>
      </c>
      <c r="J216">
        <v>9.1</v>
      </c>
      <c r="K216">
        <v>67.299706720801836</v>
      </c>
      <c r="L216">
        <v>25.1</v>
      </c>
      <c r="M216" s="2">
        <v>12.46</v>
      </c>
      <c r="N216">
        <v>2.2690000000000001</v>
      </c>
      <c r="O216" s="4">
        <v>329.50225999999998</v>
      </c>
      <c r="P216">
        <v>18.958485771126401</v>
      </c>
    </row>
    <row r="217" spans="2:16" x14ac:dyDescent="0.3">
      <c r="B217" t="s">
        <v>9</v>
      </c>
      <c r="C217">
        <f t="shared" si="8"/>
        <v>2016</v>
      </c>
      <c r="D217">
        <v>15.534849677155533</v>
      </c>
      <c r="E217">
        <v>106899.29354955172</v>
      </c>
      <c r="F217">
        <v>0.79</v>
      </c>
      <c r="G217">
        <v>0</v>
      </c>
      <c r="H217">
        <v>69.549385525716886</v>
      </c>
      <c r="I217">
        <v>0</v>
      </c>
      <c r="J217">
        <v>13.5</v>
      </c>
      <c r="K217">
        <v>60.543049906891525</v>
      </c>
      <c r="L217">
        <v>24.1</v>
      </c>
      <c r="M217" s="2">
        <v>12.481209</v>
      </c>
      <c r="N217">
        <v>4.9779999999999998</v>
      </c>
      <c r="O217" s="4">
        <v>275.07916</v>
      </c>
      <c r="P217">
        <v>17.931913261989362</v>
      </c>
    </row>
    <row r="218" spans="2:16" x14ac:dyDescent="0.3">
      <c r="B218" t="s">
        <v>9</v>
      </c>
      <c r="C218">
        <f t="shared" si="8"/>
        <v>2017</v>
      </c>
      <c r="D218">
        <v>15.408092082316012</v>
      </c>
      <c r="E218">
        <v>110193.21379722781</v>
      </c>
      <c r="F218">
        <v>1.04</v>
      </c>
      <c r="G218">
        <v>0</v>
      </c>
      <c r="H218">
        <v>63.579418344519013</v>
      </c>
      <c r="I218">
        <v>0</v>
      </c>
      <c r="J218">
        <v>15.3</v>
      </c>
      <c r="K218">
        <v>58.797318546325528</v>
      </c>
      <c r="L218">
        <v>25.6</v>
      </c>
      <c r="M218" s="2">
        <v>12.502416999999999</v>
      </c>
      <c r="N218">
        <v>1.3169999999999999</v>
      </c>
      <c r="O218" s="4">
        <v>340.85962000000001</v>
      </c>
      <c r="P218">
        <v>18.889717550224187</v>
      </c>
    </row>
    <row r="219" spans="2:16" x14ac:dyDescent="0.3">
      <c r="B219" t="s">
        <v>9</v>
      </c>
      <c r="C219">
        <f t="shared" si="8"/>
        <v>2018</v>
      </c>
      <c r="D219">
        <v>15.699975326918333</v>
      </c>
      <c r="E219">
        <v>116926.75959390485</v>
      </c>
      <c r="F219">
        <v>1.08</v>
      </c>
      <c r="G219">
        <v>0</v>
      </c>
      <c r="H219">
        <v>60.754888585720778</v>
      </c>
      <c r="I219">
        <v>0</v>
      </c>
      <c r="J219">
        <v>16</v>
      </c>
      <c r="K219">
        <v>57.09593305148325</v>
      </c>
      <c r="L219">
        <v>26.6</v>
      </c>
      <c r="M219" s="2">
        <v>12.523624999999999</v>
      </c>
      <c r="N219">
        <v>1.611</v>
      </c>
      <c r="O219" s="4">
        <v>448.52600000000001</v>
      </c>
      <c r="P219">
        <v>16.994913542212288</v>
      </c>
    </row>
    <row r="220" spans="2:16" x14ac:dyDescent="0.3">
      <c r="B220" t="s">
        <v>9</v>
      </c>
      <c r="C220">
        <f t="shared" si="8"/>
        <v>2019</v>
      </c>
      <c r="D220">
        <v>15.631748981050032</v>
      </c>
      <c r="E220">
        <v>112696.649059674</v>
      </c>
      <c r="F220">
        <v>1.19</v>
      </c>
      <c r="G220">
        <v>0</v>
      </c>
      <c r="H220">
        <v>49.737945492662469</v>
      </c>
      <c r="I220">
        <v>0</v>
      </c>
      <c r="J220">
        <v>16.399999999999999</v>
      </c>
      <c r="K220">
        <v>58.270808820405776</v>
      </c>
      <c r="L220">
        <v>25.8</v>
      </c>
      <c r="M220" s="2">
        <v>12.544834</v>
      </c>
      <c r="N220">
        <v>2.7490000000000001</v>
      </c>
      <c r="O220" s="4">
        <v>403.87164000000001</v>
      </c>
      <c r="P220">
        <v>18.653116084379036</v>
      </c>
    </row>
    <row r="221" spans="2:16" x14ac:dyDescent="0.3">
      <c r="B221" t="s">
        <v>9</v>
      </c>
      <c r="C221">
        <f t="shared" si="8"/>
        <v>2020</v>
      </c>
      <c r="D221">
        <v>12.678710508407899</v>
      </c>
      <c r="E221">
        <v>116860.02817235976</v>
      </c>
      <c r="F221">
        <v>1.58</v>
      </c>
      <c r="G221">
        <v>0</v>
      </c>
      <c r="H221">
        <v>48.970456580125337</v>
      </c>
      <c r="I221">
        <v>3.1987466427931959</v>
      </c>
      <c r="J221">
        <v>20.8</v>
      </c>
      <c r="K221">
        <v>47.514087677663305</v>
      </c>
      <c r="L221">
        <v>25</v>
      </c>
      <c r="M221" s="2">
        <v>12.566043000000001</v>
      </c>
      <c r="N221">
        <v>-0.51</v>
      </c>
      <c r="O221" s="4">
        <v>263.15481999999997</v>
      </c>
      <c r="P221">
        <v>17.929490053999238</v>
      </c>
    </row>
    <row r="222" spans="2:16" x14ac:dyDescent="0.3">
      <c r="B222" t="s">
        <v>9</v>
      </c>
      <c r="C222">
        <f t="shared" si="8"/>
        <v>2021</v>
      </c>
      <c r="D222">
        <v>13.093378162183781</v>
      </c>
      <c r="E222">
        <v>134965.81544215154</v>
      </c>
      <c r="F222">
        <v>1.5</v>
      </c>
      <c r="G222">
        <v>0</v>
      </c>
      <c r="H222">
        <v>49.049773755656105</v>
      </c>
      <c r="I222">
        <v>3.1701357466063347</v>
      </c>
      <c r="J222">
        <v>20.5</v>
      </c>
      <c r="K222">
        <v>49.741418883668182</v>
      </c>
      <c r="L222">
        <v>24.5</v>
      </c>
      <c r="M222" s="2">
        <v>12.589371999999999</v>
      </c>
      <c r="N222">
        <v>6.93</v>
      </c>
      <c r="O222" s="4">
        <v>446.02163999999999</v>
      </c>
      <c r="P222">
        <v>18.687875994330135</v>
      </c>
    </row>
    <row r="223" spans="2:16" x14ac:dyDescent="0.3">
      <c r="B223" t="s">
        <v>10</v>
      </c>
      <c r="C223">
        <v>2000</v>
      </c>
      <c r="D223">
        <v>2.3577376987746983</v>
      </c>
      <c r="E223">
        <v>440.53868398037235</v>
      </c>
      <c r="F223">
        <v>1.1200000000000001</v>
      </c>
      <c r="G223">
        <v>2.9432750624331074</v>
      </c>
      <c r="H223">
        <v>6.7249375668926152</v>
      </c>
      <c r="I223">
        <v>0.57081698180520868</v>
      </c>
      <c r="J223">
        <v>5.7</v>
      </c>
      <c r="K223">
        <v>96.939732045041453</v>
      </c>
      <c r="L223">
        <v>28.4</v>
      </c>
      <c r="M223" s="2">
        <v>10.2699175</v>
      </c>
      <c r="N223">
        <v>2.1</v>
      </c>
      <c r="O223" s="4">
        <v>179.23068000000001</v>
      </c>
      <c r="P223">
        <v>23.946959085887386</v>
      </c>
    </row>
    <row r="224" spans="2:16" x14ac:dyDescent="0.3">
      <c r="B224" t="s">
        <v>10</v>
      </c>
      <c r="C224">
        <v>2001</v>
      </c>
      <c r="D224">
        <v>2.4610581758554693</v>
      </c>
      <c r="E224">
        <v>507.4040762528191</v>
      </c>
      <c r="F224">
        <v>1.06</v>
      </c>
      <c r="G224">
        <v>1.986312802537139</v>
      </c>
      <c r="H224">
        <v>6.2927724920714407</v>
      </c>
      <c r="I224">
        <v>0.55082623935903863</v>
      </c>
      <c r="J224">
        <v>5.6</v>
      </c>
      <c r="K224">
        <v>98.603771004020615</v>
      </c>
      <c r="L224">
        <v>29.8</v>
      </c>
      <c r="M224" s="2">
        <v>10.3736315</v>
      </c>
      <c r="N224">
        <v>6.1</v>
      </c>
      <c r="O224" s="4">
        <v>153.74719999999999</v>
      </c>
      <c r="P224">
        <v>23.2823598271446</v>
      </c>
    </row>
    <row r="225" spans="2:16" x14ac:dyDescent="0.3">
      <c r="B225" t="s">
        <v>10</v>
      </c>
      <c r="C225">
        <f>C224+1</f>
        <v>2002</v>
      </c>
      <c r="D225">
        <v>2.5105920378101834</v>
      </c>
      <c r="E225">
        <v>570.79986618829309</v>
      </c>
      <c r="F225">
        <v>1.05</v>
      </c>
      <c r="G225">
        <v>2.105989987916451</v>
      </c>
      <c r="H225">
        <v>6.5078543069221482</v>
      </c>
      <c r="I225">
        <v>0.37976868634558952</v>
      </c>
      <c r="J225">
        <v>5.8</v>
      </c>
      <c r="K225">
        <v>101.21444282899814</v>
      </c>
      <c r="L225">
        <v>27.5</v>
      </c>
      <c r="M225" s="2">
        <v>10.477345</v>
      </c>
      <c r="N225">
        <v>7.8</v>
      </c>
      <c r="O225" s="4">
        <v>157.39127999999999</v>
      </c>
      <c r="P225">
        <v>21.660182467898139</v>
      </c>
    </row>
    <row r="226" spans="2:16" x14ac:dyDescent="0.3">
      <c r="B226" t="s">
        <v>10</v>
      </c>
      <c r="C226">
        <f t="shared" ref="C226:C244" si="9">C225+1</f>
        <v>2003</v>
      </c>
      <c r="D226">
        <v>2.711079299448401</v>
      </c>
      <c r="E226">
        <v>682.31909596529897</v>
      </c>
      <c r="F226">
        <v>0.96</v>
      </c>
      <c r="G226">
        <v>3.1150561045051082</v>
      </c>
      <c r="H226">
        <v>6.3138502763356223</v>
      </c>
      <c r="I226">
        <v>0.28470942890638085</v>
      </c>
      <c r="J226">
        <v>5.9</v>
      </c>
      <c r="K226">
        <v>110.50491111191572</v>
      </c>
      <c r="L226">
        <v>27.7</v>
      </c>
      <c r="M226" s="2">
        <v>10.581059</v>
      </c>
      <c r="N226">
        <v>6.6</v>
      </c>
      <c r="O226" s="4">
        <v>181.33936</v>
      </c>
      <c r="P226">
        <v>23.177598754480609</v>
      </c>
    </row>
    <row r="227" spans="2:16" x14ac:dyDescent="0.3">
      <c r="B227" t="s">
        <v>10</v>
      </c>
      <c r="C227">
        <f t="shared" si="9"/>
        <v>2004</v>
      </c>
      <c r="D227">
        <v>2.7250128883644917</v>
      </c>
      <c r="E227">
        <v>897.17849474946843</v>
      </c>
      <c r="F227">
        <v>0.96</v>
      </c>
      <c r="G227">
        <v>0</v>
      </c>
      <c r="H227">
        <v>6.4709921043597669</v>
      </c>
      <c r="I227">
        <v>0.20597322348094746</v>
      </c>
      <c r="J227">
        <v>4.8</v>
      </c>
      <c r="K227">
        <v>105.99443743756245</v>
      </c>
      <c r="L227">
        <v>27.7</v>
      </c>
      <c r="M227" s="2">
        <v>10.684772499999999</v>
      </c>
      <c r="N227">
        <v>7.4</v>
      </c>
      <c r="O227" s="4">
        <v>240.67920000000001</v>
      </c>
      <c r="P227">
        <v>26.359150224775224</v>
      </c>
    </row>
    <row r="228" spans="2:16" x14ac:dyDescent="0.3">
      <c r="B228" t="s">
        <v>10</v>
      </c>
      <c r="C228">
        <f t="shared" si="9"/>
        <v>2005</v>
      </c>
      <c r="D228">
        <v>2.8837463676689215</v>
      </c>
      <c r="E228">
        <v>1034.3919774699293</v>
      </c>
      <c r="F228">
        <v>0.92</v>
      </c>
      <c r="G228">
        <v>0</v>
      </c>
      <c r="H228">
        <v>6.2938230383973295</v>
      </c>
      <c r="I228">
        <v>0.1669449081803005</v>
      </c>
      <c r="J228">
        <v>4.3</v>
      </c>
      <c r="K228">
        <v>113.20655310474874</v>
      </c>
      <c r="L228">
        <v>28.4</v>
      </c>
      <c r="M228" s="2">
        <v>10.788486499999999</v>
      </c>
      <c r="N228">
        <v>7.5</v>
      </c>
      <c r="O228" s="4">
        <v>342.92673000000002</v>
      </c>
      <c r="P228">
        <v>30.825563051099543</v>
      </c>
    </row>
    <row r="229" spans="2:16" x14ac:dyDescent="0.3">
      <c r="B229" t="s">
        <v>10</v>
      </c>
      <c r="C229">
        <f t="shared" si="9"/>
        <v>2006</v>
      </c>
      <c r="D229">
        <v>2.815721249150025</v>
      </c>
      <c r="E229">
        <v>1183.0248144289401</v>
      </c>
      <c r="F229">
        <v>0.94</v>
      </c>
      <c r="G229">
        <v>0</v>
      </c>
      <c r="H229">
        <v>6.1884438608010504</v>
      </c>
      <c r="I229">
        <v>0.19697964543663821</v>
      </c>
      <c r="J229">
        <v>5</v>
      </c>
      <c r="K229">
        <v>109.88026145149037</v>
      </c>
      <c r="L229">
        <v>27.4</v>
      </c>
      <c r="M229" s="2">
        <v>11.034243999999999</v>
      </c>
      <c r="N229">
        <v>4.8</v>
      </c>
      <c r="O229" s="4">
        <v>409.74313000000001</v>
      </c>
      <c r="P229">
        <v>32.748080618492203</v>
      </c>
    </row>
    <row r="230" spans="2:16" x14ac:dyDescent="0.3">
      <c r="B230" t="s">
        <v>10</v>
      </c>
      <c r="C230">
        <f t="shared" si="9"/>
        <v>2007</v>
      </c>
      <c r="D230">
        <v>2.7921938531795059</v>
      </c>
      <c r="E230">
        <v>1531.2161859074765</v>
      </c>
      <c r="F230">
        <v>0.96</v>
      </c>
      <c r="G230">
        <v>0</v>
      </c>
      <c r="H230">
        <v>6.383338977311209</v>
      </c>
      <c r="I230">
        <v>8.4659668134100918E-2</v>
      </c>
      <c r="J230">
        <v>4.4000000000000004</v>
      </c>
      <c r="K230">
        <v>114.33315223657121</v>
      </c>
      <c r="L230">
        <v>26.8</v>
      </c>
      <c r="M230" s="2">
        <v>11.28</v>
      </c>
      <c r="N230">
        <v>3</v>
      </c>
      <c r="O230" s="4">
        <v>455.31279999999998</v>
      </c>
      <c r="P230">
        <v>38.105554931686321</v>
      </c>
    </row>
    <row r="231" spans="2:16" x14ac:dyDescent="0.3">
      <c r="B231" t="s">
        <v>10</v>
      </c>
      <c r="C231">
        <f t="shared" si="9"/>
        <v>2008</v>
      </c>
      <c r="D231">
        <v>2.7633187431962756</v>
      </c>
      <c r="E231">
        <v>2110.5530535385687</v>
      </c>
      <c r="F231">
        <v>1</v>
      </c>
      <c r="G231">
        <v>0</v>
      </c>
      <c r="H231">
        <v>6.4596479574892065</v>
      </c>
      <c r="I231">
        <v>0.2158751245433411</v>
      </c>
      <c r="J231">
        <v>4.9000000000000004</v>
      </c>
      <c r="K231">
        <v>107.18725653984298</v>
      </c>
      <c r="L231">
        <v>27.1</v>
      </c>
      <c r="M231" s="2">
        <v>11.38</v>
      </c>
      <c r="N231">
        <v>7.8</v>
      </c>
      <c r="O231" s="4">
        <v>611.72064</v>
      </c>
      <c r="P231">
        <v>39.227918692984964</v>
      </c>
    </row>
    <row r="232" spans="2:16" x14ac:dyDescent="0.3">
      <c r="B232" t="s">
        <v>10</v>
      </c>
      <c r="C232">
        <f t="shared" si="9"/>
        <v>2009</v>
      </c>
      <c r="D232">
        <v>2.7251028108555979</v>
      </c>
      <c r="E232">
        <v>1898.4397571098814</v>
      </c>
      <c r="F232">
        <v>0.97</v>
      </c>
      <c r="G232">
        <v>0</v>
      </c>
      <c r="H232">
        <v>5.7760567925137138</v>
      </c>
      <c r="I232">
        <v>0.77444336882865439</v>
      </c>
      <c r="J232">
        <v>4.8</v>
      </c>
      <c r="K232">
        <v>83.850631740434437</v>
      </c>
      <c r="L232">
        <v>25</v>
      </c>
      <c r="M232" s="2">
        <v>11.48</v>
      </c>
      <c r="N232">
        <v>-6</v>
      </c>
      <c r="O232" s="4">
        <v>387.89992999999998</v>
      </c>
      <c r="P232">
        <v>23.141897384639829</v>
      </c>
    </row>
    <row r="233" spans="2:16" x14ac:dyDescent="0.3">
      <c r="B233" t="s">
        <v>10</v>
      </c>
      <c r="C233">
        <f t="shared" si="9"/>
        <v>2010</v>
      </c>
      <c r="D233">
        <v>2.97129565385693</v>
      </c>
      <c r="E233">
        <v>2436.7993510242086</v>
      </c>
      <c r="F233">
        <v>0.94</v>
      </c>
      <c r="G233">
        <v>0</v>
      </c>
      <c r="H233">
        <v>6.6557645134914152</v>
      </c>
      <c r="I233">
        <v>0.47424366312346689</v>
      </c>
      <c r="J233">
        <v>20</v>
      </c>
      <c r="K233">
        <v>77.362202713470822</v>
      </c>
      <c r="L233">
        <v>25.4</v>
      </c>
      <c r="M233" s="2">
        <v>11.49</v>
      </c>
      <c r="N233">
        <v>7.1</v>
      </c>
      <c r="O233" s="4">
        <v>500.01101999999997</v>
      </c>
      <c r="P233">
        <v>23.851786593285883</v>
      </c>
    </row>
    <row r="234" spans="2:16" x14ac:dyDescent="0.3">
      <c r="B234" t="s">
        <v>10</v>
      </c>
      <c r="C234">
        <f t="shared" si="9"/>
        <v>2011</v>
      </c>
      <c r="D234">
        <v>2.9834666282611351</v>
      </c>
      <c r="E234">
        <v>2941.362240660208</v>
      </c>
      <c r="F234">
        <v>0.8</v>
      </c>
      <c r="G234">
        <v>0</v>
      </c>
      <c r="H234">
        <v>6.0847018150388941</v>
      </c>
      <c r="I234">
        <v>0.34572169403630076</v>
      </c>
      <c r="J234">
        <v>20.399999999999999</v>
      </c>
      <c r="K234">
        <v>88.040053256111761</v>
      </c>
      <c r="L234">
        <v>24.5</v>
      </c>
      <c r="M234" s="2">
        <v>11.56</v>
      </c>
      <c r="N234">
        <v>5.8179999999999996</v>
      </c>
      <c r="O234" s="4">
        <v>699.77544999999998</v>
      </c>
      <c r="P234">
        <v>24.048671425109632</v>
      </c>
    </row>
    <row r="235" spans="2:16" x14ac:dyDescent="0.3">
      <c r="B235" t="s">
        <v>10</v>
      </c>
      <c r="C235">
        <f t="shared" si="9"/>
        <v>2012</v>
      </c>
      <c r="D235">
        <v>2.9202286174573233</v>
      </c>
      <c r="E235">
        <v>3044.8084324814986</v>
      </c>
      <c r="F235">
        <v>0.61</v>
      </c>
      <c r="G235">
        <v>0</v>
      </c>
      <c r="H235">
        <v>4.6371315290467159</v>
      </c>
      <c r="I235">
        <v>0.27581451473883817</v>
      </c>
      <c r="J235">
        <v>22.1</v>
      </c>
      <c r="K235">
        <v>84.681164340480464</v>
      </c>
      <c r="L235">
        <v>23.6</v>
      </c>
      <c r="M235" s="2">
        <v>11.7</v>
      </c>
      <c r="N235">
        <v>-0.59</v>
      </c>
      <c r="O235" s="4">
        <v>702.38007000000005</v>
      </c>
      <c r="P235">
        <v>24.198519244333628</v>
      </c>
    </row>
    <row r="236" spans="2:16" x14ac:dyDescent="0.3">
      <c r="B236" t="s">
        <v>10</v>
      </c>
      <c r="C236">
        <f t="shared" si="9"/>
        <v>2013</v>
      </c>
      <c r="D236">
        <v>2.6207197056328289</v>
      </c>
      <c r="E236">
        <v>3321.0439779571934</v>
      </c>
      <c r="F236">
        <v>0.8</v>
      </c>
      <c r="G236">
        <v>0</v>
      </c>
      <c r="H236">
        <v>6.9623059866962311</v>
      </c>
      <c r="I236">
        <v>0.35476718403547669</v>
      </c>
      <c r="J236">
        <v>23.8</v>
      </c>
      <c r="K236">
        <v>83.397233694982276</v>
      </c>
      <c r="L236">
        <v>23.2</v>
      </c>
      <c r="M236" s="2">
        <v>11.63</v>
      </c>
      <c r="N236">
        <v>9.0440000000000005</v>
      </c>
      <c r="O236" s="4">
        <v>683.44029999999998</v>
      </c>
      <c r="P236">
        <v>24.938200200022472</v>
      </c>
    </row>
    <row r="237" spans="2:16" x14ac:dyDescent="0.3">
      <c r="B237" t="s">
        <v>10</v>
      </c>
      <c r="C237">
        <f t="shared" si="9"/>
        <v>2014</v>
      </c>
      <c r="D237">
        <v>2.8136530881110224</v>
      </c>
      <c r="E237">
        <v>3289.9575856877727</v>
      </c>
      <c r="F237">
        <v>0.76</v>
      </c>
      <c r="G237">
        <v>0</v>
      </c>
      <c r="H237">
        <v>5.9468500278758594</v>
      </c>
      <c r="I237">
        <v>0.26017468871956889</v>
      </c>
      <c r="J237">
        <v>24.3</v>
      </c>
      <c r="K237">
        <v>81.439338357998921</v>
      </c>
      <c r="L237">
        <v>22.1</v>
      </c>
      <c r="M237" s="2">
        <v>11.7</v>
      </c>
      <c r="N237">
        <v>5</v>
      </c>
      <c r="O237" s="4">
        <v>622.35059999999999</v>
      </c>
      <c r="P237">
        <v>23.782570660056848</v>
      </c>
    </row>
    <row r="238" spans="2:16" x14ac:dyDescent="0.3">
      <c r="B238" t="s">
        <v>10</v>
      </c>
      <c r="C238">
        <f t="shared" si="9"/>
        <v>2015</v>
      </c>
      <c r="D238">
        <v>2.9263978775575836</v>
      </c>
      <c r="E238">
        <v>2749.5513705433796</v>
      </c>
      <c r="F238">
        <v>0.63</v>
      </c>
      <c r="G238">
        <v>0</v>
      </c>
      <c r="H238">
        <v>4.4290199966947617</v>
      </c>
      <c r="I238">
        <v>0.13220955214014213</v>
      </c>
      <c r="J238">
        <v>24.7</v>
      </c>
      <c r="K238">
        <v>76.356169733637529</v>
      </c>
      <c r="L238">
        <v>22.5</v>
      </c>
      <c r="M238" s="2">
        <v>11.7</v>
      </c>
      <c r="N238">
        <v>-0.7</v>
      </c>
      <c r="O238" s="4">
        <v>329.50225999999998</v>
      </c>
      <c r="P238">
        <v>24.062090789552744</v>
      </c>
    </row>
    <row r="239" spans="2:16" x14ac:dyDescent="0.3">
      <c r="B239" t="s">
        <v>10</v>
      </c>
      <c r="C239">
        <f t="shared" si="9"/>
        <v>2016</v>
      </c>
      <c r="D239">
        <v>3.004937952743771</v>
      </c>
      <c r="E239">
        <v>2847.0879477047888</v>
      </c>
      <c r="F239">
        <v>0.53</v>
      </c>
      <c r="G239">
        <v>0</v>
      </c>
      <c r="H239">
        <v>3.9296087476507773</v>
      </c>
      <c r="I239">
        <v>0.29044934221766616</v>
      </c>
      <c r="J239">
        <v>25.3</v>
      </c>
      <c r="K239">
        <v>75.993772926292479</v>
      </c>
      <c r="L239">
        <v>22.7</v>
      </c>
      <c r="M239" s="2">
        <v>11.726666</v>
      </c>
      <c r="N239">
        <v>4.5999999999999996</v>
      </c>
      <c r="O239" s="4">
        <v>275.07916</v>
      </c>
      <c r="P239">
        <v>21.986885323541667</v>
      </c>
    </row>
    <row r="240" spans="2:16" x14ac:dyDescent="0.3">
      <c r="B240" t="s">
        <v>10</v>
      </c>
      <c r="C240">
        <f t="shared" si="9"/>
        <v>2017</v>
      </c>
      <c r="D240">
        <v>3.0146026279866827</v>
      </c>
      <c r="E240">
        <v>3453.2672772029409</v>
      </c>
      <c r="F240">
        <v>0.66</v>
      </c>
      <c r="G240">
        <v>0</v>
      </c>
      <c r="H240">
        <v>5.7413376309427884</v>
      </c>
      <c r="I240">
        <v>0.34246575342465752</v>
      </c>
      <c r="J240">
        <v>26.1</v>
      </c>
      <c r="K240">
        <v>76.263315995811226</v>
      </c>
      <c r="L240">
        <v>21.7</v>
      </c>
      <c r="M240" s="2">
        <v>11.753333</v>
      </c>
      <c r="N240">
        <v>4.2</v>
      </c>
      <c r="O240" s="4">
        <v>340.85962000000001</v>
      </c>
      <c r="P240">
        <v>21.938954212504679</v>
      </c>
    </row>
    <row r="241" spans="2:16" x14ac:dyDescent="0.3">
      <c r="B241" t="s">
        <v>10</v>
      </c>
      <c r="C241">
        <f t="shared" si="9"/>
        <v>2018</v>
      </c>
      <c r="D241">
        <v>3.27363703423792</v>
      </c>
      <c r="E241">
        <v>4156.4498195664619</v>
      </c>
      <c r="F241">
        <v>0.64</v>
      </c>
      <c r="G241">
        <v>0</v>
      </c>
      <c r="H241">
        <v>5.1020408163265305</v>
      </c>
      <c r="I241">
        <v>0.14842300556586271</v>
      </c>
      <c r="J241">
        <v>25.3</v>
      </c>
      <c r="K241">
        <v>75.237594157774609</v>
      </c>
      <c r="L241">
        <v>21.9</v>
      </c>
      <c r="M241" s="2">
        <v>11.78</v>
      </c>
      <c r="N241">
        <v>4.0999999999999996</v>
      </c>
      <c r="O241" s="4">
        <v>448.52600000000001</v>
      </c>
      <c r="P241">
        <v>26.591810670347115</v>
      </c>
    </row>
    <row r="242" spans="2:16" x14ac:dyDescent="0.3">
      <c r="B242" t="s">
        <v>10</v>
      </c>
      <c r="C242">
        <f t="shared" si="9"/>
        <v>2019</v>
      </c>
      <c r="D242">
        <v>3.4194196884346058</v>
      </c>
      <c r="E242">
        <v>4405.334181621547</v>
      </c>
      <c r="F242">
        <v>0.75</v>
      </c>
      <c r="G242">
        <v>0</v>
      </c>
      <c r="H242">
        <v>5.2825552825552826</v>
      </c>
      <c r="I242">
        <v>7.02000702000702E-2</v>
      </c>
      <c r="J242">
        <v>22</v>
      </c>
      <c r="K242">
        <v>73.461268520016731</v>
      </c>
      <c r="L242">
        <v>22</v>
      </c>
      <c r="M242" s="2">
        <v>11.76</v>
      </c>
      <c r="N242">
        <v>3.6</v>
      </c>
      <c r="O242" s="4">
        <v>403.87164000000001</v>
      </c>
      <c r="P242">
        <v>25.103661882340774</v>
      </c>
    </row>
    <row r="243" spans="2:16" x14ac:dyDescent="0.3">
      <c r="B243" t="s">
        <v>10</v>
      </c>
      <c r="C243">
        <f t="shared" si="9"/>
        <v>2020</v>
      </c>
      <c r="D243">
        <v>3.3578609024981687</v>
      </c>
      <c r="E243">
        <v>4375.778893052403</v>
      </c>
      <c r="F243">
        <v>0.74</v>
      </c>
      <c r="G243">
        <v>0</v>
      </c>
      <c r="H243">
        <v>4.4660194174757279</v>
      </c>
      <c r="I243">
        <v>1.6181229773462782E-2</v>
      </c>
      <c r="J243">
        <v>22.3</v>
      </c>
      <c r="K243">
        <v>68.365046283377595</v>
      </c>
      <c r="L243">
        <v>21.5</v>
      </c>
      <c r="M243" s="2">
        <v>11.8</v>
      </c>
      <c r="N243">
        <v>-8.3000000000000007</v>
      </c>
      <c r="O243" s="4">
        <v>263.15481999999997</v>
      </c>
      <c r="P243">
        <v>23.864444352607713</v>
      </c>
    </row>
    <row r="244" spans="2:16" x14ac:dyDescent="0.3">
      <c r="B244" t="s">
        <v>10</v>
      </c>
      <c r="C244">
        <f t="shared" si="9"/>
        <v>2021</v>
      </c>
      <c r="D244">
        <v>3.7185709734421906</v>
      </c>
      <c r="E244">
        <v>5274.6058219535234</v>
      </c>
      <c r="F244">
        <v>0.83</v>
      </c>
      <c r="G244">
        <v>0</v>
      </c>
      <c r="H244">
        <v>4.732572115384615</v>
      </c>
      <c r="I244">
        <v>0.57091346153846145</v>
      </c>
      <c r="J244">
        <v>21.4</v>
      </c>
      <c r="K244">
        <v>75.380503574315924</v>
      </c>
      <c r="L244">
        <v>22.1</v>
      </c>
      <c r="M244" s="2">
        <v>11.82</v>
      </c>
      <c r="N244">
        <v>13.9</v>
      </c>
      <c r="O244" s="4">
        <v>446.02163999999999</v>
      </c>
      <c r="P244">
        <v>26.856125866443172</v>
      </c>
    </row>
    <row r="245" spans="2:16" x14ac:dyDescent="0.3">
      <c r="B245" t="s">
        <v>11</v>
      </c>
      <c r="C245">
        <v>2000</v>
      </c>
      <c r="D245">
        <v>1.0897864230654171</v>
      </c>
      <c r="E245">
        <v>1945.4133845169831</v>
      </c>
      <c r="F245">
        <v>10.72</v>
      </c>
      <c r="G245">
        <v>1.7424927186903687</v>
      </c>
      <c r="H245">
        <v>81.189113186702826</v>
      </c>
      <c r="I245">
        <v>12.312945666365371</v>
      </c>
      <c r="J245">
        <v>38.6</v>
      </c>
      <c r="K245">
        <v>27.770933748283344</v>
      </c>
      <c r="L245">
        <v>36.799999999999997</v>
      </c>
      <c r="M245" s="2">
        <v>8.3636370000000007</v>
      </c>
      <c r="N245">
        <v>2.6949999999999998</v>
      </c>
      <c r="O245" s="4">
        <v>179.23068000000001</v>
      </c>
      <c r="P245">
        <v>19.627984760554646</v>
      </c>
    </row>
    <row r="246" spans="2:16" x14ac:dyDescent="0.3">
      <c r="B246" t="s">
        <v>11</v>
      </c>
      <c r="C246">
        <v>2001</v>
      </c>
      <c r="D246">
        <v>0.99907282143726139</v>
      </c>
      <c r="E246">
        <v>1929.5727303884632</v>
      </c>
      <c r="F246">
        <v>12.03</v>
      </c>
      <c r="G246">
        <v>1.4919626528058525</v>
      </c>
      <c r="H246">
        <v>84.733853113870438</v>
      </c>
      <c r="I246">
        <v>8.7785157377995962</v>
      </c>
      <c r="J246">
        <v>41.2</v>
      </c>
      <c r="K246">
        <v>27.564782306179364</v>
      </c>
      <c r="L246">
        <v>39.1</v>
      </c>
      <c r="M246" s="2">
        <v>8.4227279999999993</v>
      </c>
      <c r="N246">
        <v>0.61699999999999999</v>
      </c>
      <c r="O246" s="4">
        <v>153.74719999999999</v>
      </c>
      <c r="P246">
        <v>18.159505169098271</v>
      </c>
    </row>
    <row r="247" spans="2:16" x14ac:dyDescent="0.3">
      <c r="B247" t="s">
        <v>11</v>
      </c>
      <c r="C247">
        <f>C246+1</f>
        <v>2002</v>
      </c>
      <c r="D247">
        <v>1.0298217725254823</v>
      </c>
      <c r="E247">
        <v>2007.3701962675275</v>
      </c>
      <c r="F247">
        <v>12.31</v>
      </c>
      <c r="G247">
        <v>3.5663922121639451</v>
      </c>
      <c r="H247">
        <v>82.063412637037715</v>
      </c>
      <c r="I247">
        <v>8.5384160487649545</v>
      </c>
      <c r="J247">
        <v>40.200000000000003</v>
      </c>
      <c r="K247">
        <v>27.761371262798988</v>
      </c>
      <c r="L247">
        <v>42.1</v>
      </c>
      <c r="M247" s="2">
        <v>8.4818180000000005</v>
      </c>
      <c r="N247">
        <v>5.4539999999999997</v>
      </c>
      <c r="O247" s="4">
        <v>157.39127999999999</v>
      </c>
      <c r="P247">
        <v>17.968145891608845</v>
      </c>
    </row>
    <row r="248" spans="2:16" x14ac:dyDescent="0.3">
      <c r="B248" t="s">
        <v>11</v>
      </c>
      <c r="C248">
        <f t="shared" ref="C248:C266" si="10">C247+1</f>
        <v>2003</v>
      </c>
      <c r="D248">
        <v>0.99900690669382597</v>
      </c>
      <c r="E248">
        <v>2129.4411419763424</v>
      </c>
      <c r="F248">
        <v>12.87</v>
      </c>
      <c r="G248">
        <v>3.3458384226138547</v>
      </c>
      <c r="H248">
        <v>80.849764439015885</v>
      </c>
      <c r="I248">
        <v>9.1999651020764261</v>
      </c>
      <c r="J248">
        <v>40.9</v>
      </c>
      <c r="K248">
        <v>29.805368582292978</v>
      </c>
      <c r="L248">
        <v>42.2</v>
      </c>
      <c r="M248" s="2">
        <v>8.5409100000000002</v>
      </c>
      <c r="N248">
        <v>4.165</v>
      </c>
      <c r="O248" s="4">
        <v>181.33936</v>
      </c>
      <c r="P248">
        <v>17.510289374905181</v>
      </c>
    </row>
    <row r="249" spans="2:16" x14ac:dyDescent="0.3">
      <c r="B249" t="s">
        <v>11</v>
      </c>
      <c r="C249">
        <f t="shared" si="10"/>
        <v>2004</v>
      </c>
      <c r="D249">
        <v>1.1424738952305007</v>
      </c>
      <c r="E249">
        <v>2397.2514727771386</v>
      </c>
      <c r="F249">
        <v>11.23</v>
      </c>
      <c r="G249">
        <v>3.7765409193980624</v>
      </c>
      <c r="H249">
        <v>72.253143681715116</v>
      </c>
      <c r="I249">
        <v>13.716759431045144</v>
      </c>
      <c r="J249">
        <v>37.799999999999997</v>
      </c>
      <c r="K249">
        <v>34.312482944699148</v>
      </c>
      <c r="L249">
        <v>37.9</v>
      </c>
      <c r="M249" s="2">
        <v>8.6</v>
      </c>
      <c r="N249">
        <v>4.9589999999999996</v>
      </c>
      <c r="O249" s="4">
        <v>240.67920000000001</v>
      </c>
      <c r="P249">
        <v>16.855682541075307</v>
      </c>
    </row>
    <row r="250" spans="2:16" x14ac:dyDescent="0.3">
      <c r="B250" t="s">
        <v>11</v>
      </c>
      <c r="C250">
        <f t="shared" si="10"/>
        <v>2005</v>
      </c>
      <c r="D250">
        <v>1.1330378297281467</v>
      </c>
      <c r="E250">
        <v>2706.6694729760839</v>
      </c>
      <c r="F250">
        <v>10.91</v>
      </c>
      <c r="G250">
        <v>3.1530648260716108</v>
      </c>
      <c r="H250">
        <v>70.900819639985883</v>
      </c>
      <c r="I250">
        <v>6.7375191183967997</v>
      </c>
      <c r="J250">
        <v>38.4</v>
      </c>
      <c r="K250">
        <v>39.271314741035859</v>
      </c>
      <c r="L250">
        <v>38.5</v>
      </c>
      <c r="M250" s="2">
        <v>7.92</v>
      </c>
      <c r="N250">
        <v>6.2850000000000001</v>
      </c>
      <c r="O250" s="4">
        <v>342.92673000000002</v>
      </c>
      <c r="P250">
        <v>17.283817682224058</v>
      </c>
    </row>
    <row r="251" spans="2:16" x14ac:dyDescent="0.3">
      <c r="B251" t="s">
        <v>11</v>
      </c>
      <c r="C251">
        <f t="shared" si="10"/>
        <v>2006</v>
      </c>
      <c r="D251">
        <v>1.1117587249846783</v>
      </c>
      <c r="E251">
        <v>3129.5599649698206</v>
      </c>
      <c r="F251">
        <v>12.28</v>
      </c>
      <c r="G251">
        <v>2.9826741720886027</v>
      </c>
      <c r="H251">
        <v>72.019153446889391</v>
      </c>
      <c r="I251">
        <v>6.0786607208129251</v>
      </c>
      <c r="J251">
        <v>38.700000000000003</v>
      </c>
      <c r="K251">
        <v>44.195158868781242</v>
      </c>
      <c r="L251">
        <v>38.200000000000003</v>
      </c>
      <c r="M251" s="2">
        <v>7.93</v>
      </c>
      <c r="N251">
        <v>7.5289999999999999</v>
      </c>
      <c r="O251" s="4">
        <v>409.74313000000001</v>
      </c>
      <c r="P251">
        <v>19.65060236813185</v>
      </c>
    </row>
    <row r="252" spans="2:16" x14ac:dyDescent="0.3">
      <c r="B252" t="s">
        <v>11</v>
      </c>
      <c r="C252">
        <f t="shared" si="10"/>
        <v>2007</v>
      </c>
      <c r="D252">
        <v>1.2048110002492403</v>
      </c>
      <c r="E252">
        <v>3581.0893081916961</v>
      </c>
      <c r="F252">
        <v>11.13</v>
      </c>
      <c r="G252">
        <v>2.8231599345160534</v>
      </c>
      <c r="H252">
        <v>65.313554508703348</v>
      </c>
      <c r="I252">
        <v>2.9902108182152283</v>
      </c>
      <c r="J252">
        <v>36</v>
      </c>
      <c r="K252">
        <v>47.553619879071476</v>
      </c>
      <c r="L252">
        <v>37.799999999999997</v>
      </c>
      <c r="M252" s="2">
        <v>8.19</v>
      </c>
      <c r="N252">
        <v>8.5180000000000007</v>
      </c>
      <c r="O252" s="4">
        <v>455.31279999999998</v>
      </c>
      <c r="P252">
        <v>22.032387321586647</v>
      </c>
    </row>
    <row r="253" spans="2:16" x14ac:dyDescent="0.3">
      <c r="B253" t="s">
        <v>11</v>
      </c>
      <c r="C253">
        <f t="shared" si="10"/>
        <v>2008</v>
      </c>
      <c r="D253">
        <v>1.3577960350416993</v>
      </c>
      <c r="E253">
        <v>4197.5844463414151</v>
      </c>
      <c r="F253">
        <v>9.84</v>
      </c>
      <c r="G253">
        <v>2.7042861547949428</v>
      </c>
      <c r="H253">
        <v>58.711069996916429</v>
      </c>
      <c r="I253">
        <v>5.9851988899167434</v>
      </c>
      <c r="J253">
        <v>33.700000000000003</v>
      </c>
      <c r="K253">
        <v>50.417832920823656</v>
      </c>
      <c r="L253">
        <v>35.4</v>
      </c>
      <c r="M253" s="2">
        <v>8.19</v>
      </c>
      <c r="N253">
        <v>9.1270000000000007</v>
      </c>
      <c r="O253" s="4">
        <v>611.72064</v>
      </c>
      <c r="P253">
        <v>26.178345935433022</v>
      </c>
    </row>
    <row r="254" spans="2:16" x14ac:dyDescent="0.3">
      <c r="B254" t="s">
        <v>11</v>
      </c>
      <c r="C254">
        <f t="shared" si="10"/>
        <v>2009</v>
      </c>
      <c r="D254">
        <v>1.4525720502514965</v>
      </c>
      <c r="E254">
        <v>4181.1875546225265</v>
      </c>
      <c r="F254">
        <v>9.99</v>
      </c>
      <c r="G254">
        <v>2.3808800753135535</v>
      </c>
      <c r="H254">
        <v>59.190986668286314</v>
      </c>
      <c r="I254">
        <v>5.356980169455495</v>
      </c>
      <c r="J254">
        <v>32.9</v>
      </c>
      <c r="K254">
        <v>40.671896478294677</v>
      </c>
      <c r="L254">
        <v>35.200000000000003</v>
      </c>
      <c r="M254" s="2">
        <v>8.2200000000000006</v>
      </c>
      <c r="N254">
        <v>1.0960000000000001</v>
      </c>
      <c r="O254" s="4">
        <v>387.89992999999998</v>
      </c>
      <c r="P254">
        <v>19.978677979793538</v>
      </c>
    </row>
    <row r="255" spans="2:16" x14ac:dyDescent="0.3">
      <c r="B255" t="s">
        <v>11</v>
      </c>
      <c r="C255">
        <f t="shared" si="10"/>
        <v>2010</v>
      </c>
      <c r="D255">
        <v>1.5763002836517435</v>
      </c>
      <c r="E255">
        <v>5072.1149401961538</v>
      </c>
      <c r="F255">
        <v>9.85</v>
      </c>
      <c r="G255">
        <v>2.3711340206185567</v>
      </c>
      <c r="H255">
        <v>55.84285316244079</v>
      </c>
      <c r="I255">
        <v>5.8428531624407913</v>
      </c>
      <c r="J255">
        <v>32.200000000000003</v>
      </c>
      <c r="K255">
        <v>44.752972253013546</v>
      </c>
      <c r="L255">
        <v>34.200000000000003</v>
      </c>
      <c r="M255" s="2">
        <v>8.8699999999999992</v>
      </c>
      <c r="N255">
        <v>8.33</v>
      </c>
      <c r="O255" s="4">
        <v>500.01101999999997</v>
      </c>
      <c r="P255">
        <v>23.760509040654153</v>
      </c>
    </row>
    <row r="256" spans="2:16" x14ac:dyDescent="0.3">
      <c r="B256" t="s">
        <v>11</v>
      </c>
      <c r="C256">
        <f t="shared" si="10"/>
        <v>2011</v>
      </c>
      <c r="D256">
        <v>1.6782403655244529</v>
      </c>
      <c r="E256">
        <v>5861.3579364524485</v>
      </c>
      <c r="F256">
        <v>9.24</v>
      </c>
      <c r="G256">
        <v>1.58580424750784</v>
      </c>
      <c r="H256">
        <v>55.036585676771274</v>
      </c>
      <c r="I256">
        <v>5.9913826071437679</v>
      </c>
      <c r="J256">
        <v>30.6</v>
      </c>
      <c r="K256">
        <v>49.25194717671954</v>
      </c>
      <c r="L256">
        <v>33.5</v>
      </c>
      <c r="M256" s="2">
        <v>8.89</v>
      </c>
      <c r="N256">
        <v>6.3280000000000003</v>
      </c>
      <c r="O256" s="4">
        <v>699.77544999999998</v>
      </c>
      <c r="P256">
        <v>24.20087559639699</v>
      </c>
    </row>
    <row r="257" spans="2:16" x14ac:dyDescent="0.3">
      <c r="B257" t="s">
        <v>11</v>
      </c>
      <c r="C257">
        <f t="shared" si="10"/>
        <v>2012</v>
      </c>
      <c r="D257">
        <v>1.6622975160443021</v>
      </c>
      <c r="E257">
        <v>6519.3785298152716</v>
      </c>
      <c r="F257">
        <v>8.5399999999999991</v>
      </c>
      <c r="G257">
        <v>3.2325051915234306</v>
      </c>
      <c r="H257">
        <v>53.426405464234783</v>
      </c>
      <c r="I257">
        <v>2.356826540568941</v>
      </c>
      <c r="J257">
        <v>30.8</v>
      </c>
      <c r="K257">
        <v>45.913309141146676</v>
      </c>
      <c r="L257">
        <v>33.299999999999997</v>
      </c>
      <c r="M257" s="2">
        <v>9.08</v>
      </c>
      <c r="N257">
        <v>6.14</v>
      </c>
      <c r="O257" s="4">
        <v>702.38007000000005</v>
      </c>
      <c r="P257">
        <v>24.606056312250189</v>
      </c>
    </row>
    <row r="258" spans="2:16" x14ac:dyDescent="0.3">
      <c r="B258" t="s">
        <v>11</v>
      </c>
      <c r="C258">
        <f t="shared" si="10"/>
        <v>2013</v>
      </c>
      <c r="D258">
        <v>1.6876932290278206</v>
      </c>
      <c r="E258">
        <v>6746.8002569660148</v>
      </c>
      <c r="F258">
        <v>9.33</v>
      </c>
      <c r="G258">
        <v>2.79501677929481</v>
      </c>
      <c r="H258">
        <v>51.277984645795982</v>
      </c>
      <c r="I258">
        <v>1.7491840205948603</v>
      </c>
      <c r="J258">
        <v>28.4</v>
      </c>
      <c r="K258">
        <v>42.87101626216986</v>
      </c>
      <c r="L258">
        <v>32.700000000000003</v>
      </c>
      <c r="M258" s="2">
        <v>9.14</v>
      </c>
      <c r="N258">
        <v>5.8520000000000003</v>
      </c>
      <c r="O258" s="4">
        <v>683.44029999999998</v>
      </c>
      <c r="P258">
        <v>25.574181869025452</v>
      </c>
    </row>
    <row r="259" spans="2:16" x14ac:dyDescent="0.3">
      <c r="B259" t="s">
        <v>11</v>
      </c>
      <c r="C259">
        <f t="shared" si="10"/>
        <v>2014</v>
      </c>
      <c r="D259">
        <v>1.7682563314052884</v>
      </c>
      <c r="E259">
        <v>6667.1341036086051</v>
      </c>
      <c r="F259">
        <v>8.91</v>
      </c>
      <c r="G259">
        <v>0.71512924813016665</v>
      </c>
      <c r="H259">
        <v>48.547872107772385</v>
      </c>
      <c r="I259">
        <v>1.2246861741678696</v>
      </c>
      <c r="J259">
        <v>28.6</v>
      </c>
      <c r="K259">
        <v>40.320489956336466</v>
      </c>
      <c r="L259">
        <v>32.1</v>
      </c>
      <c r="M259" s="2">
        <v>9.15</v>
      </c>
      <c r="N259">
        <v>2.3839999999999999</v>
      </c>
      <c r="O259" s="4">
        <v>622.35059999999999</v>
      </c>
      <c r="P259">
        <v>24.666120507121416</v>
      </c>
    </row>
    <row r="260" spans="2:16" x14ac:dyDescent="0.3">
      <c r="B260" t="s">
        <v>11</v>
      </c>
      <c r="C260">
        <f t="shared" si="10"/>
        <v>2015</v>
      </c>
      <c r="D260">
        <v>1.802551744063879</v>
      </c>
      <c r="E260">
        <v>6231.7115033889386</v>
      </c>
      <c r="F260">
        <v>9.44</v>
      </c>
      <c r="G260">
        <v>0.83936084226233654</v>
      </c>
      <c r="H260">
        <v>49.140950446622867</v>
      </c>
      <c r="I260">
        <v>1.4030797289175354</v>
      </c>
      <c r="J260">
        <v>27.4</v>
      </c>
      <c r="K260">
        <v>37.654309431087199</v>
      </c>
      <c r="L260">
        <v>32.6</v>
      </c>
      <c r="M260" s="2">
        <v>9.09</v>
      </c>
      <c r="N260">
        <v>3.2509999999999999</v>
      </c>
      <c r="O260" s="4">
        <v>329.50225999999998</v>
      </c>
      <c r="P260">
        <v>24.305114358322744</v>
      </c>
    </row>
    <row r="261" spans="2:16" x14ac:dyDescent="0.3">
      <c r="B261" t="s">
        <v>11</v>
      </c>
      <c r="C261">
        <f t="shared" si="10"/>
        <v>2016</v>
      </c>
      <c r="D261">
        <v>1.8628905505108548</v>
      </c>
      <c r="E261">
        <v>6217.0359999544698</v>
      </c>
      <c r="F261">
        <v>9.42</v>
      </c>
      <c r="G261">
        <v>1.9233376590675784</v>
      </c>
      <c r="H261">
        <v>46.791531890991493</v>
      </c>
      <c r="I261">
        <v>2.0589203742082938</v>
      </c>
      <c r="J261">
        <v>27.2</v>
      </c>
      <c r="K261">
        <v>37.921166668725334</v>
      </c>
      <c r="L261">
        <v>32.6</v>
      </c>
      <c r="M261" s="2">
        <v>9.3133335000000006</v>
      </c>
      <c r="N261">
        <v>3.9540000000000002</v>
      </c>
      <c r="O261" s="4">
        <v>275.07916</v>
      </c>
      <c r="P261">
        <v>22.021313388958539</v>
      </c>
    </row>
    <row r="262" spans="2:16" x14ac:dyDescent="0.3">
      <c r="B262" t="s">
        <v>11</v>
      </c>
      <c r="C262">
        <f t="shared" si="10"/>
        <v>2017</v>
      </c>
      <c r="D262">
        <v>1.762740299273061</v>
      </c>
      <c r="E262">
        <v>6736.1669372548704</v>
      </c>
      <c r="F262">
        <v>11.1</v>
      </c>
      <c r="G262">
        <v>1.4492753623188406</v>
      </c>
      <c r="H262">
        <v>55.125578571970557</v>
      </c>
      <c r="I262">
        <v>2.2592761211017529</v>
      </c>
      <c r="J262">
        <v>27.6</v>
      </c>
      <c r="K262">
        <v>39.495661912036383</v>
      </c>
      <c r="L262">
        <v>32.299999999999997</v>
      </c>
      <c r="M262" s="2">
        <v>9.5366669999999996</v>
      </c>
      <c r="N262">
        <v>2.5190000000000001</v>
      </c>
      <c r="O262" s="4">
        <v>340.85962000000001</v>
      </c>
      <c r="P262">
        <v>20.711813706323792</v>
      </c>
    </row>
    <row r="263" spans="2:16" x14ac:dyDescent="0.3">
      <c r="B263" t="s">
        <v>11</v>
      </c>
      <c r="C263">
        <f t="shared" si="10"/>
        <v>2018</v>
      </c>
      <c r="D263">
        <v>1.7351408181886128</v>
      </c>
      <c r="E263">
        <v>6978.4912154862677</v>
      </c>
      <c r="F263">
        <v>11.48</v>
      </c>
      <c r="G263">
        <v>0.24019652442907832</v>
      </c>
      <c r="H263">
        <v>55.903921390228376</v>
      </c>
      <c r="I263">
        <v>1.3592939677918296</v>
      </c>
      <c r="J263">
        <v>27.9</v>
      </c>
      <c r="K263">
        <v>41.00728940920299</v>
      </c>
      <c r="L263">
        <v>31.6</v>
      </c>
      <c r="M263" s="2">
        <v>9.76</v>
      </c>
      <c r="N263">
        <v>3.9689999999999999</v>
      </c>
      <c r="O263" s="4">
        <v>448.52600000000001</v>
      </c>
      <c r="P263">
        <v>21.311175142293205</v>
      </c>
    </row>
    <row r="264" spans="2:16" x14ac:dyDescent="0.3">
      <c r="B264" t="s">
        <v>11</v>
      </c>
      <c r="C264">
        <f t="shared" si="10"/>
        <v>2019</v>
      </c>
      <c r="D264">
        <v>1.7927010635636766</v>
      </c>
      <c r="E264">
        <v>7037.0080369260386</v>
      </c>
      <c r="F264">
        <v>11.38</v>
      </c>
      <c r="G264">
        <v>0.27539028240659535</v>
      </c>
      <c r="H264">
        <v>55.158744079985965</v>
      </c>
      <c r="I264">
        <v>1.220838449394843</v>
      </c>
      <c r="J264">
        <v>27.1</v>
      </c>
      <c r="K264">
        <v>38.856821519611962</v>
      </c>
      <c r="L264">
        <v>31.1</v>
      </c>
      <c r="M264" s="2">
        <v>9.8898159999999997</v>
      </c>
      <c r="N264">
        <v>2.2400000000000002</v>
      </c>
      <c r="O264" s="4">
        <v>403.87164000000001</v>
      </c>
      <c r="P264">
        <v>20.833639551486645</v>
      </c>
    </row>
    <row r="265" spans="2:16" x14ac:dyDescent="0.3">
      <c r="B265" t="s">
        <v>11</v>
      </c>
      <c r="C265">
        <f t="shared" si="10"/>
        <v>2020</v>
      </c>
      <c r="D265">
        <v>1.4474682354556208</v>
      </c>
      <c r="E265">
        <v>6133.3255241018305</v>
      </c>
      <c r="F265">
        <v>13.17</v>
      </c>
      <c r="G265">
        <v>0.26716183185857473</v>
      </c>
      <c r="H265">
        <v>57.780851507285369</v>
      </c>
      <c r="I265">
        <v>0.62148284290505329</v>
      </c>
      <c r="J265">
        <v>31.6</v>
      </c>
      <c r="K265">
        <v>37.604942548461104</v>
      </c>
      <c r="L265">
        <v>32.9</v>
      </c>
      <c r="M265" s="2">
        <v>10.021359</v>
      </c>
      <c r="N265">
        <v>-10.938000000000001</v>
      </c>
      <c r="O265" s="4">
        <v>263.15481999999997</v>
      </c>
      <c r="P265">
        <v>18.19125888779185</v>
      </c>
    </row>
    <row r="266" spans="2:16" x14ac:dyDescent="0.3">
      <c r="B266" t="s">
        <v>11</v>
      </c>
      <c r="C266">
        <f t="shared" si="10"/>
        <v>2021</v>
      </c>
      <c r="D266">
        <v>1.7984380569336085</v>
      </c>
      <c r="E266">
        <v>6826.2025561447699</v>
      </c>
      <c r="F266">
        <v>11.71</v>
      </c>
      <c r="G266">
        <v>0.23670698807762594</v>
      </c>
      <c r="H266">
        <v>55.539117570272388</v>
      </c>
      <c r="I266">
        <v>0.51170481246192667</v>
      </c>
      <c r="J266">
        <v>30.6</v>
      </c>
      <c r="K266">
        <v>48.84001345879053</v>
      </c>
      <c r="L266">
        <v>30.5</v>
      </c>
      <c r="M266" s="2">
        <v>10.154652</v>
      </c>
      <c r="N266">
        <v>13.367000000000001</v>
      </c>
      <c r="O266" s="4">
        <v>446.02163999999999</v>
      </c>
      <c r="P266">
        <v>22.314840011340333</v>
      </c>
    </row>
    <row r="267" spans="2:16" x14ac:dyDescent="0.3">
      <c r="B267" t="s">
        <v>12</v>
      </c>
      <c r="C267">
        <v>2000</v>
      </c>
      <c r="D267">
        <v>8.1818770871271944</v>
      </c>
      <c r="E267">
        <v>4520.6410044911054</v>
      </c>
      <c r="F267">
        <v>0.21</v>
      </c>
      <c r="G267">
        <v>94.997382631694947</v>
      </c>
      <c r="H267">
        <v>2.8350231430460657</v>
      </c>
      <c r="I267">
        <v>1.3197046506502095</v>
      </c>
      <c r="J267">
        <v>6.9</v>
      </c>
      <c r="K267">
        <v>46.703875535641352</v>
      </c>
      <c r="L267">
        <v>26.1</v>
      </c>
      <c r="M267" s="2">
        <v>11.242838000000001</v>
      </c>
      <c r="N267">
        <v>4.26</v>
      </c>
      <c r="O267" s="4">
        <v>179.23068000000001</v>
      </c>
      <c r="P267">
        <v>24.699967671940708</v>
      </c>
    </row>
    <row r="268" spans="2:16" x14ac:dyDescent="0.3">
      <c r="B268" t="s">
        <v>12</v>
      </c>
      <c r="C268">
        <v>2001</v>
      </c>
      <c r="D268">
        <v>8.0986949513486639</v>
      </c>
      <c r="E268">
        <v>5015.237900366129</v>
      </c>
      <c r="F268">
        <v>0.23</v>
      </c>
      <c r="G268">
        <v>94.156548730908696</v>
      </c>
      <c r="H268">
        <v>2.8980331831666852</v>
      </c>
      <c r="I268">
        <v>1.6467970552686517</v>
      </c>
      <c r="J268">
        <v>7.3</v>
      </c>
      <c r="K268">
        <v>44.927829289257041</v>
      </c>
      <c r="L268">
        <v>25.8</v>
      </c>
      <c r="M268" s="2">
        <v>11.346418999999999</v>
      </c>
      <c r="N268">
        <v>1.2050000000000001</v>
      </c>
      <c r="O268" s="4">
        <v>153.74719999999999</v>
      </c>
      <c r="P268">
        <v>20.640897485690274</v>
      </c>
    </row>
    <row r="269" spans="2:16" x14ac:dyDescent="0.3">
      <c r="B269" t="s">
        <v>12</v>
      </c>
      <c r="C269">
        <f>C268+1</f>
        <v>2002</v>
      </c>
      <c r="D269">
        <v>7.9129379987069965</v>
      </c>
      <c r="E269">
        <v>5223.4517896708176</v>
      </c>
      <c r="F269">
        <v>0.23</v>
      </c>
      <c r="G269">
        <v>93.671509651277347</v>
      </c>
      <c r="H269">
        <v>2.7101286374422382</v>
      </c>
      <c r="I269">
        <v>1.6485575121768452</v>
      </c>
      <c r="J269">
        <v>7.5</v>
      </c>
      <c r="K269">
        <v>48.2897714978644</v>
      </c>
      <c r="L269">
        <v>26.7</v>
      </c>
      <c r="M269" s="2">
        <v>11.45</v>
      </c>
      <c r="N269">
        <v>1.4430000000000001</v>
      </c>
      <c r="O269" s="4">
        <v>157.39127999999999</v>
      </c>
      <c r="P269">
        <v>18.54447935588394</v>
      </c>
    </row>
    <row r="270" spans="2:16" x14ac:dyDescent="0.3">
      <c r="B270" t="s">
        <v>12</v>
      </c>
      <c r="C270">
        <f t="shared" ref="C270:C288" si="11">C269+1</f>
        <v>2003</v>
      </c>
      <c r="D270">
        <v>8.2529995757052106</v>
      </c>
      <c r="E270">
        <v>5720.8136617810396</v>
      </c>
      <c r="F270">
        <v>0.18</v>
      </c>
      <c r="G270">
        <v>94.207648831703281</v>
      </c>
      <c r="H270">
        <v>2.1717195032678016</v>
      </c>
      <c r="I270">
        <v>1.6197215608945401</v>
      </c>
      <c r="J270">
        <v>7.3</v>
      </c>
      <c r="K270">
        <v>55.835155317464334</v>
      </c>
      <c r="L270">
        <v>27</v>
      </c>
      <c r="M270" s="2">
        <v>11.57</v>
      </c>
      <c r="N270">
        <v>3.5230000000000001</v>
      </c>
      <c r="O270" s="4">
        <v>181.33936</v>
      </c>
      <c r="P270">
        <v>18.911154222171504</v>
      </c>
    </row>
    <row r="271" spans="2:16" x14ac:dyDescent="0.3">
      <c r="B271" t="s">
        <v>12</v>
      </c>
      <c r="C271">
        <f t="shared" si="11"/>
        <v>2004</v>
      </c>
      <c r="D271">
        <v>8.3150425347168113</v>
      </c>
      <c r="E271">
        <v>6711.7271526296699</v>
      </c>
      <c r="F271">
        <v>0.22</v>
      </c>
      <c r="G271">
        <v>92.694555621144403</v>
      </c>
      <c r="H271">
        <v>2.3942812291205833</v>
      </c>
      <c r="I271">
        <v>1.8902561640903224</v>
      </c>
      <c r="J271">
        <v>7.3</v>
      </c>
      <c r="K271">
        <v>64.285270964506964</v>
      </c>
      <c r="L271">
        <v>28.2</v>
      </c>
      <c r="M271" s="2">
        <v>11.69</v>
      </c>
      <c r="N271">
        <v>5.0910000000000002</v>
      </c>
      <c r="O271" s="4">
        <v>240.67920000000001</v>
      </c>
      <c r="P271">
        <v>20.489065322151323</v>
      </c>
    </row>
    <row r="272" spans="2:16" x14ac:dyDescent="0.3">
      <c r="B272" t="s">
        <v>12</v>
      </c>
      <c r="C272">
        <f t="shared" si="11"/>
        <v>2005</v>
      </c>
      <c r="D272">
        <v>8.3085104863836925</v>
      </c>
      <c r="E272">
        <v>8043.9233225375719</v>
      </c>
      <c r="F272">
        <v>0.23</v>
      </c>
      <c r="G272">
        <v>91.276061579242494</v>
      </c>
      <c r="H272">
        <v>2.4073507671917214</v>
      </c>
      <c r="I272">
        <v>1.7567670897690779</v>
      </c>
      <c r="J272">
        <v>7.2</v>
      </c>
      <c r="K272">
        <v>62.239757021140797</v>
      </c>
      <c r="L272">
        <v>26.8</v>
      </c>
      <c r="M272" s="2">
        <v>11.809998999999999</v>
      </c>
      <c r="N272">
        <v>3.2610000000000001</v>
      </c>
      <c r="O272" s="4">
        <v>342.92673000000002</v>
      </c>
      <c r="P272">
        <v>20.107360063948907</v>
      </c>
    </row>
    <row r="273" spans="2:16" x14ac:dyDescent="0.3">
      <c r="B273" t="s">
        <v>12</v>
      </c>
      <c r="C273">
        <f t="shared" si="11"/>
        <v>2006</v>
      </c>
      <c r="D273">
        <v>8.6717334272089079</v>
      </c>
      <c r="E273">
        <v>9068.855283076271</v>
      </c>
      <c r="F273">
        <v>0.22</v>
      </c>
      <c r="G273">
        <v>91.891407302988711</v>
      </c>
      <c r="H273">
        <v>1.8671711738447652</v>
      </c>
      <c r="I273">
        <v>1.7979250905763502</v>
      </c>
      <c r="J273">
        <v>7.2</v>
      </c>
      <c r="K273">
        <v>68.739701828531508</v>
      </c>
      <c r="L273">
        <v>26.4</v>
      </c>
      <c r="M273" s="2">
        <v>11.93</v>
      </c>
      <c r="N273">
        <v>6.202</v>
      </c>
      <c r="O273" s="4">
        <v>409.74313000000001</v>
      </c>
      <c r="P273">
        <v>21.956166297892164</v>
      </c>
    </row>
    <row r="274" spans="2:16" x14ac:dyDescent="0.3">
      <c r="B274" t="s">
        <v>12</v>
      </c>
      <c r="C274">
        <f t="shared" si="11"/>
        <v>2007</v>
      </c>
      <c r="D274">
        <v>8.6646444858102818</v>
      </c>
      <c r="E274">
        <v>11272.529368338306</v>
      </c>
      <c r="F274">
        <v>0.27</v>
      </c>
      <c r="G274">
        <v>91.488440394608034</v>
      </c>
      <c r="H274">
        <v>1.8443908928885206</v>
      </c>
      <c r="I274">
        <v>1.7533950849712578</v>
      </c>
      <c r="J274">
        <v>7.3</v>
      </c>
      <c r="K274">
        <v>71.176455545933763</v>
      </c>
      <c r="L274">
        <v>26.4</v>
      </c>
      <c r="M274" s="2">
        <v>12.05</v>
      </c>
      <c r="N274">
        <v>6.76</v>
      </c>
      <c r="O274" s="4">
        <v>455.31279999999998</v>
      </c>
      <c r="P274">
        <v>25.418645906022213</v>
      </c>
    </row>
    <row r="275" spans="2:16" x14ac:dyDescent="0.3">
      <c r="B275" t="s">
        <v>12</v>
      </c>
      <c r="C275">
        <f t="shared" si="11"/>
        <v>2008</v>
      </c>
      <c r="D275">
        <v>8.5133492030938971</v>
      </c>
      <c r="E275">
        <v>14048.560467265392</v>
      </c>
      <c r="F275">
        <v>0.28000000000000003</v>
      </c>
      <c r="G275">
        <v>90.539261453269376</v>
      </c>
      <c r="H275">
        <v>1.7687775667235439</v>
      </c>
      <c r="I275">
        <v>1.7552557869997747</v>
      </c>
      <c r="J275">
        <v>8</v>
      </c>
      <c r="K275">
        <v>70.809089094627396</v>
      </c>
      <c r="L275">
        <v>26.1</v>
      </c>
      <c r="M275" s="2">
        <v>12.17</v>
      </c>
      <c r="N275">
        <v>4.3840000000000003</v>
      </c>
      <c r="O275" s="4">
        <v>611.72064</v>
      </c>
      <c r="P275">
        <v>24.756145097057622</v>
      </c>
    </row>
    <row r="276" spans="2:16" x14ac:dyDescent="0.3">
      <c r="B276" t="s">
        <v>12</v>
      </c>
      <c r="C276">
        <f t="shared" si="11"/>
        <v>2009</v>
      </c>
      <c r="D276">
        <v>8.1616151226987768</v>
      </c>
      <c r="E276">
        <v>11556.302686602616</v>
      </c>
      <c r="F276">
        <v>0.34</v>
      </c>
      <c r="G276">
        <v>88.895992617980497</v>
      </c>
      <c r="H276">
        <v>1.9601898233588191</v>
      </c>
      <c r="I276">
        <v>1.7947534932770892</v>
      </c>
      <c r="J276">
        <v>8.8000000000000007</v>
      </c>
      <c r="K276">
        <v>64.859952618846165</v>
      </c>
      <c r="L276">
        <v>25.8</v>
      </c>
      <c r="M276" s="2">
        <v>12.34</v>
      </c>
      <c r="N276">
        <v>2.6150000000000002</v>
      </c>
      <c r="O276" s="4">
        <v>387.89992999999998</v>
      </c>
      <c r="P276">
        <v>20.75791411149978</v>
      </c>
    </row>
    <row r="277" spans="2:16" x14ac:dyDescent="0.3">
      <c r="B277" t="s">
        <v>12</v>
      </c>
      <c r="C277">
        <f t="shared" si="11"/>
        <v>2010</v>
      </c>
      <c r="D277">
        <v>8.6582336723217548</v>
      </c>
      <c r="E277">
        <v>12567.731767638152</v>
      </c>
      <c r="F277">
        <v>0.42</v>
      </c>
      <c r="G277">
        <v>87.774726146000489</v>
      </c>
      <c r="H277">
        <v>2.2123978002879667</v>
      </c>
      <c r="I277">
        <v>1.8343619376240825</v>
      </c>
      <c r="J277">
        <v>9.5</v>
      </c>
      <c r="K277">
        <v>70.647308771199675</v>
      </c>
      <c r="L277">
        <v>25.8</v>
      </c>
      <c r="M277" s="2">
        <v>12.31</v>
      </c>
      <c r="N277">
        <v>3.169</v>
      </c>
      <c r="O277" s="4">
        <v>500.01101999999997</v>
      </c>
      <c r="P277">
        <v>20.858668886345509</v>
      </c>
    </row>
    <row r="278" spans="2:16" x14ac:dyDescent="0.3">
      <c r="B278" t="s">
        <v>12</v>
      </c>
      <c r="C278">
        <f t="shared" si="11"/>
        <v>2011</v>
      </c>
      <c r="D278">
        <v>8.5893416104324256</v>
      </c>
      <c r="E278">
        <v>13867.666940819152</v>
      </c>
      <c r="F278">
        <v>0.5</v>
      </c>
      <c r="G278">
        <v>86.56235478269376</v>
      </c>
      <c r="H278">
        <v>1.6881894000538067</v>
      </c>
      <c r="I278">
        <v>1.4998654829163305</v>
      </c>
      <c r="J278">
        <v>10.4</v>
      </c>
      <c r="K278">
        <v>75.645373143001464</v>
      </c>
      <c r="L278">
        <v>25.5</v>
      </c>
      <c r="M278" s="2">
        <v>12.55</v>
      </c>
      <c r="N278">
        <v>5.2549999999999999</v>
      </c>
      <c r="O278" s="4">
        <v>699.77544999999998</v>
      </c>
      <c r="P278">
        <v>22.345046309469382</v>
      </c>
    </row>
    <row r="279" spans="2:16" x14ac:dyDescent="0.3">
      <c r="B279" t="s">
        <v>12</v>
      </c>
      <c r="C279">
        <f t="shared" si="11"/>
        <v>2012</v>
      </c>
      <c r="D279">
        <v>8.3999033816526651</v>
      </c>
      <c r="E279">
        <v>13087.420943320951</v>
      </c>
      <c r="F279">
        <v>0.63</v>
      </c>
      <c r="G279">
        <v>84.135217313539613</v>
      </c>
      <c r="H279">
        <v>1.520300482918977</v>
      </c>
      <c r="I279">
        <v>1.2612634838009362</v>
      </c>
      <c r="J279">
        <v>10.9</v>
      </c>
      <c r="K279">
        <v>77.172546835059137</v>
      </c>
      <c r="L279">
        <v>25.3</v>
      </c>
      <c r="M279" s="2">
        <v>12.78</v>
      </c>
      <c r="N279">
        <v>1.512</v>
      </c>
      <c r="O279" s="4">
        <v>702.38007000000005</v>
      </c>
      <c r="P279">
        <v>20.801951866614228</v>
      </c>
    </row>
    <row r="280" spans="2:16" x14ac:dyDescent="0.3">
      <c r="B280" t="s">
        <v>12</v>
      </c>
      <c r="C280">
        <f t="shared" si="11"/>
        <v>2013</v>
      </c>
      <c r="D280">
        <v>8.2830777212609519</v>
      </c>
      <c r="E280">
        <v>13621.902379403095</v>
      </c>
      <c r="F280">
        <v>0.79</v>
      </c>
      <c r="G280">
        <v>84.917973022238428</v>
      </c>
      <c r="H280">
        <v>1.8209989063069631</v>
      </c>
      <c r="I280">
        <v>1.0827561064527889</v>
      </c>
      <c r="J280">
        <v>11.4</v>
      </c>
      <c r="K280">
        <v>79.623129078538597</v>
      </c>
      <c r="L280">
        <v>25.4</v>
      </c>
      <c r="M280" s="2">
        <v>12.78</v>
      </c>
      <c r="N280">
        <v>0.68400000000000005</v>
      </c>
      <c r="O280" s="4">
        <v>683.44029999999998</v>
      </c>
      <c r="P280">
        <v>19.128044997826311</v>
      </c>
    </row>
    <row r="281" spans="2:16" x14ac:dyDescent="0.3">
      <c r="B281" t="s">
        <v>12</v>
      </c>
      <c r="C281">
        <f t="shared" si="11"/>
        <v>2014</v>
      </c>
      <c r="D281">
        <v>7.9599181673764692</v>
      </c>
      <c r="E281">
        <v>14262.284191411594</v>
      </c>
      <c r="F281">
        <v>0.96</v>
      </c>
      <c r="G281">
        <v>82.705788418134148</v>
      </c>
      <c r="H281">
        <v>1.7188590397273966</v>
      </c>
      <c r="I281">
        <v>1.0021438585682043</v>
      </c>
      <c r="J281">
        <v>11.6</v>
      </c>
      <c r="K281">
        <v>81.826239122434131</v>
      </c>
      <c r="L281">
        <v>25.1</v>
      </c>
      <c r="M281" s="2">
        <v>12.84</v>
      </c>
      <c r="N281">
        <v>3.92</v>
      </c>
      <c r="O281" s="4">
        <v>622.35059999999999</v>
      </c>
      <c r="P281">
        <v>20.827278920116829</v>
      </c>
    </row>
    <row r="282" spans="2:16" x14ac:dyDescent="0.3">
      <c r="B282" t="s">
        <v>12</v>
      </c>
      <c r="C282">
        <f t="shared" si="11"/>
        <v>2015</v>
      </c>
      <c r="D282">
        <v>8.0500943337317565</v>
      </c>
      <c r="E282">
        <v>12637.522032440615</v>
      </c>
      <c r="F282">
        <v>1.23</v>
      </c>
      <c r="G282">
        <v>80.610388980502478</v>
      </c>
      <c r="H282">
        <v>1.4762586089824425</v>
      </c>
      <c r="I282">
        <v>1.2840721699485886</v>
      </c>
      <c r="J282">
        <v>11.9</v>
      </c>
      <c r="K282">
        <v>82.406750548750964</v>
      </c>
      <c r="L282">
        <v>24.2</v>
      </c>
      <c r="M282" s="2">
        <v>12.92</v>
      </c>
      <c r="N282">
        <v>4.4320000000000004</v>
      </c>
      <c r="O282" s="4">
        <v>329.50225999999998</v>
      </c>
      <c r="P282">
        <v>20.801695878123127</v>
      </c>
    </row>
    <row r="283" spans="2:16" x14ac:dyDescent="0.3">
      <c r="B283" t="s">
        <v>12</v>
      </c>
      <c r="C283">
        <f t="shared" si="11"/>
        <v>2016</v>
      </c>
      <c r="D283">
        <v>8.3415136762789075</v>
      </c>
      <c r="E283">
        <v>12464.011050847552</v>
      </c>
      <c r="F283">
        <v>1.36</v>
      </c>
      <c r="G283">
        <v>79.774957241875953</v>
      </c>
      <c r="H283">
        <v>1.5734989648033124</v>
      </c>
      <c r="I283">
        <v>1.3814624778707956</v>
      </c>
      <c r="J283">
        <v>11.3</v>
      </c>
      <c r="K283">
        <v>85.222362876833145</v>
      </c>
      <c r="L283">
        <v>24.6</v>
      </c>
      <c r="M283" s="2">
        <v>13</v>
      </c>
      <c r="N283">
        <v>3.0310000000000001</v>
      </c>
      <c r="O283" s="4">
        <v>275.07916</v>
      </c>
      <c r="P283">
        <v>20.087300906771848</v>
      </c>
    </row>
    <row r="284" spans="2:16" x14ac:dyDescent="0.3">
      <c r="B284" t="s">
        <v>12</v>
      </c>
      <c r="C284">
        <f t="shared" si="11"/>
        <v>2017</v>
      </c>
      <c r="D284">
        <v>8.6958160124288657</v>
      </c>
      <c r="E284">
        <v>13913.340291992668</v>
      </c>
      <c r="F284">
        <v>1.53</v>
      </c>
      <c r="G284">
        <v>78.278825565365324</v>
      </c>
      <c r="H284">
        <v>1.7792508726131462</v>
      </c>
      <c r="I284">
        <v>1.1849939870354618</v>
      </c>
      <c r="J284">
        <v>11.1</v>
      </c>
      <c r="K284">
        <v>88.609838897689187</v>
      </c>
      <c r="L284">
        <v>23.5</v>
      </c>
      <c r="M284" s="2">
        <v>13.04</v>
      </c>
      <c r="N284">
        <v>5.1520000000000001</v>
      </c>
      <c r="O284" s="4">
        <v>340.85962000000001</v>
      </c>
      <c r="P284">
        <v>19.9081446848915</v>
      </c>
    </row>
    <row r="285" spans="2:16" x14ac:dyDescent="0.3">
      <c r="B285" t="s">
        <v>12</v>
      </c>
      <c r="C285">
        <f t="shared" si="11"/>
        <v>2018</v>
      </c>
      <c r="D285">
        <v>8.680317842777109</v>
      </c>
      <c r="E285">
        <v>15658.212031679395</v>
      </c>
      <c r="F285">
        <v>1.26</v>
      </c>
      <c r="G285">
        <v>78.221466839960243</v>
      </c>
      <c r="H285">
        <v>1.4037955998329794</v>
      </c>
      <c r="I285">
        <v>1.058580678550215</v>
      </c>
      <c r="J285">
        <v>15.1</v>
      </c>
      <c r="K285">
        <v>89.558199648462107</v>
      </c>
      <c r="L285">
        <v>24</v>
      </c>
      <c r="M285" s="2">
        <v>13.08</v>
      </c>
      <c r="N285">
        <v>6.2460000000000004</v>
      </c>
      <c r="O285" s="4">
        <v>448.52600000000001</v>
      </c>
      <c r="P285">
        <v>21.443880969665024</v>
      </c>
    </row>
    <row r="286" spans="2:16" x14ac:dyDescent="0.3">
      <c r="B286" t="s">
        <v>12</v>
      </c>
      <c r="C286">
        <f t="shared" si="11"/>
        <v>2019</v>
      </c>
      <c r="D286">
        <v>8.2198550130085302</v>
      </c>
      <c r="E286">
        <v>15874.522053125382</v>
      </c>
      <c r="F286">
        <v>1.55</v>
      </c>
      <c r="G286">
        <v>73.451106178500865</v>
      </c>
      <c r="H286">
        <v>1.6245091104227136</v>
      </c>
      <c r="I286">
        <v>1.0787374685952631</v>
      </c>
      <c r="J286">
        <v>15.6</v>
      </c>
      <c r="K286">
        <v>88.251422445329993</v>
      </c>
      <c r="L286">
        <v>23.1</v>
      </c>
      <c r="M286" s="2">
        <v>13.12</v>
      </c>
      <c r="N286">
        <v>4.5810000000000004</v>
      </c>
      <c r="O286" s="4">
        <v>403.87164000000001</v>
      </c>
      <c r="P286">
        <v>20.707679449110149</v>
      </c>
    </row>
    <row r="287" spans="2:16" x14ac:dyDescent="0.3">
      <c r="B287" t="s">
        <v>12</v>
      </c>
      <c r="C287">
        <f t="shared" si="11"/>
        <v>2020</v>
      </c>
      <c r="D287">
        <v>7.9134740962648547</v>
      </c>
      <c r="E287">
        <v>16150.930481347252</v>
      </c>
      <c r="F287">
        <v>1.78</v>
      </c>
      <c r="G287">
        <v>69.203123220409765</v>
      </c>
      <c r="H287">
        <v>1.8577340200706141</v>
      </c>
      <c r="I287">
        <v>1.1066678477872971</v>
      </c>
      <c r="J287">
        <v>16.100000000000001</v>
      </c>
      <c r="K287">
        <v>88.372407595588683</v>
      </c>
      <c r="L287">
        <v>22.8</v>
      </c>
      <c r="M287" s="2">
        <v>13.16</v>
      </c>
      <c r="N287">
        <v>-2.036</v>
      </c>
      <c r="O287" s="4">
        <v>263.15481999999997</v>
      </c>
      <c r="P287">
        <v>18.839405156948491</v>
      </c>
    </row>
    <row r="288" spans="2:16" x14ac:dyDescent="0.3">
      <c r="B288" t="s">
        <v>12</v>
      </c>
      <c r="C288">
        <f t="shared" si="11"/>
        <v>2021</v>
      </c>
      <c r="D288">
        <v>8.7614559461919921</v>
      </c>
      <c r="E288">
        <v>18635.510489575368</v>
      </c>
      <c r="F288">
        <v>1.9</v>
      </c>
      <c r="G288">
        <v>72.264809526195378</v>
      </c>
      <c r="H288">
        <v>1.725760030284305</v>
      </c>
      <c r="I288">
        <v>1.1156203550612089</v>
      </c>
      <c r="J288">
        <v>15.2</v>
      </c>
      <c r="K288">
        <v>99.062462309332133</v>
      </c>
      <c r="L288">
        <v>22.8</v>
      </c>
      <c r="M288" s="2">
        <v>13.208543000000001</v>
      </c>
      <c r="N288">
        <v>6.9269999999999996</v>
      </c>
      <c r="O288" s="4">
        <v>446.02163999999999</v>
      </c>
      <c r="P288">
        <v>21.810673457778606</v>
      </c>
    </row>
    <row r="289" spans="2:16" x14ac:dyDescent="0.3">
      <c r="B289" t="s">
        <v>13</v>
      </c>
      <c r="C289">
        <v>2000</v>
      </c>
      <c r="D289">
        <v>4.3445228352342484</v>
      </c>
      <c r="E289">
        <v>1659.929049105278</v>
      </c>
      <c r="F289">
        <v>7.44</v>
      </c>
      <c r="G289">
        <v>37.162552470443252</v>
      </c>
      <c r="H289">
        <v>28.455347171409866</v>
      </c>
      <c r="I289">
        <v>6.5448453806754721</v>
      </c>
      <c r="J289">
        <v>16.399999999999999</v>
      </c>
      <c r="K289">
        <v>63.241973313747089</v>
      </c>
      <c r="L289">
        <v>23.3</v>
      </c>
      <c r="M289" s="1">
        <v>9482</v>
      </c>
      <c r="N289">
        <v>2.9209999999999998</v>
      </c>
      <c r="O289" s="4">
        <v>179.23068000000001</v>
      </c>
      <c r="P289">
        <v>19.669581109169798</v>
      </c>
    </row>
    <row r="290" spans="2:16" x14ac:dyDescent="0.3">
      <c r="B290" t="s">
        <v>13</v>
      </c>
      <c r="C290">
        <v>2001</v>
      </c>
      <c r="D290">
        <v>4.7175375712148533</v>
      </c>
      <c r="E290">
        <v>1825.192993731835</v>
      </c>
      <c r="F290">
        <v>7.34</v>
      </c>
      <c r="G290">
        <v>37.16444510451862</v>
      </c>
      <c r="H290">
        <v>27.703931979356177</v>
      </c>
      <c r="I290">
        <v>10.034158838599486</v>
      </c>
      <c r="J290">
        <v>13.4</v>
      </c>
      <c r="K290">
        <v>66.74569176106597</v>
      </c>
      <c r="L290">
        <v>23.2</v>
      </c>
      <c r="M290" s="1">
        <v>9581</v>
      </c>
      <c r="N290">
        <v>5.218</v>
      </c>
      <c r="O290" s="4">
        <v>153.74719999999999</v>
      </c>
      <c r="P290">
        <v>22.75601108769467</v>
      </c>
    </row>
    <row r="291" spans="2:16" x14ac:dyDescent="0.3">
      <c r="B291" t="s">
        <v>13</v>
      </c>
      <c r="C291">
        <f>C290+1</f>
        <v>2002</v>
      </c>
      <c r="D291">
        <v>4.7582485001722921</v>
      </c>
      <c r="E291">
        <v>2119.8550968455434</v>
      </c>
      <c r="F291">
        <v>7.43</v>
      </c>
      <c r="G291">
        <v>37.686798933099489</v>
      </c>
      <c r="H291">
        <v>29.314187584493407</v>
      </c>
      <c r="I291">
        <v>6.5365924951587564</v>
      </c>
      <c r="J291">
        <v>14.4</v>
      </c>
      <c r="K291">
        <v>68.882348261493448</v>
      </c>
      <c r="L291">
        <v>23.7</v>
      </c>
      <c r="M291" s="2">
        <v>9.68</v>
      </c>
      <c r="N291">
        <v>5.7030000000000003</v>
      </c>
      <c r="O291" s="4">
        <v>157.39127999999999</v>
      </c>
      <c r="P291">
        <v>22.17269810831311</v>
      </c>
    </row>
    <row r="292" spans="2:16" x14ac:dyDescent="0.3">
      <c r="B292" t="s">
        <v>13</v>
      </c>
      <c r="C292">
        <f t="shared" ref="C292:C310" si="12">C291+1</f>
        <v>2003</v>
      </c>
      <c r="D292">
        <v>4.9988769058185181</v>
      </c>
      <c r="E292">
        <v>2679.4062601615437</v>
      </c>
      <c r="F292">
        <v>6.13</v>
      </c>
      <c r="G292">
        <v>42.878128400435259</v>
      </c>
      <c r="H292">
        <v>24.04606456293072</v>
      </c>
      <c r="I292">
        <v>6.5886833514689878</v>
      </c>
      <c r="J292">
        <v>15.7</v>
      </c>
      <c r="K292">
        <v>72.042215781668801</v>
      </c>
      <c r="L292">
        <v>23.7</v>
      </c>
      <c r="M292" s="2">
        <v>9.8620000000000001</v>
      </c>
      <c r="N292">
        <v>2.3410000000000002</v>
      </c>
      <c r="O292" s="4">
        <v>181.33936</v>
      </c>
      <c r="P292">
        <v>23.195319241174335</v>
      </c>
    </row>
    <row r="293" spans="2:16" x14ac:dyDescent="0.3">
      <c r="B293" t="s">
        <v>13</v>
      </c>
      <c r="C293">
        <f t="shared" si="12"/>
        <v>2004</v>
      </c>
      <c r="D293">
        <v>4.9217527634577847</v>
      </c>
      <c r="E293">
        <v>3494.9905644895534</v>
      </c>
      <c r="F293">
        <v>7.43</v>
      </c>
      <c r="G293">
        <v>38.536965256022235</v>
      </c>
      <c r="H293">
        <v>29.227065965769306</v>
      </c>
      <c r="I293">
        <v>3.8921042850315932</v>
      </c>
      <c r="J293">
        <v>17.3</v>
      </c>
      <c r="K293">
        <v>75.018349593339778</v>
      </c>
      <c r="L293">
        <v>23.5</v>
      </c>
      <c r="M293" s="2">
        <v>10.044001</v>
      </c>
      <c r="N293">
        <v>10.428000000000001</v>
      </c>
      <c r="O293" s="4">
        <v>240.67920000000001</v>
      </c>
      <c r="P293">
        <v>24.216564502675446</v>
      </c>
    </row>
    <row r="294" spans="2:16" x14ac:dyDescent="0.3">
      <c r="B294" t="s">
        <v>13</v>
      </c>
      <c r="C294">
        <f t="shared" si="12"/>
        <v>2005</v>
      </c>
      <c r="D294">
        <v>4.9011652845715119</v>
      </c>
      <c r="E294">
        <v>4618.0035080291318</v>
      </c>
      <c r="F294">
        <v>8.31</v>
      </c>
      <c r="G294">
        <v>37.261205460084497</v>
      </c>
      <c r="H294">
        <v>34.011075017252118</v>
      </c>
      <c r="I294">
        <v>3.1878545099557334</v>
      </c>
      <c r="J294">
        <v>18.5</v>
      </c>
      <c r="K294">
        <v>69.27675530211576</v>
      </c>
      <c r="L294">
        <v>23.5</v>
      </c>
      <c r="M294" s="2">
        <v>10.226000000000001</v>
      </c>
      <c r="N294">
        <v>4.6680000000000001</v>
      </c>
      <c r="O294" s="4">
        <v>342.92673000000002</v>
      </c>
      <c r="P294">
        <v>22.930685462238099</v>
      </c>
    </row>
    <row r="295" spans="2:16" x14ac:dyDescent="0.3">
      <c r="B295" t="s">
        <v>13</v>
      </c>
      <c r="C295">
        <f t="shared" si="12"/>
        <v>2006</v>
      </c>
      <c r="D295">
        <v>5.2299356036871227</v>
      </c>
      <c r="E295">
        <v>5757.5312730117848</v>
      </c>
      <c r="F295">
        <v>7.68</v>
      </c>
      <c r="G295">
        <v>40.301768824664656</v>
      </c>
      <c r="H295">
        <v>29.277317893998116</v>
      </c>
      <c r="I295">
        <v>2.5615260698279028</v>
      </c>
      <c r="J295">
        <v>17.399999999999999</v>
      </c>
      <c r="K295">
        <v>68.526012025232632</v>
      </c>
      <c r="L295">
        <v>29</v>
      </c>
      <c r="M295" s="2">
        <v>10.407999999999999</v>
      </c>
      <c r="N295">
        <v>8.0289999999999999</v>
      </c>
      <c r="O295" s="4">
        <v>409.74313000000001</v>
      </c>
      <c r="P295">
        <v>27.466969850269546</v>
      </c>
    </row>
    <row r="296" spans="2:16" x14ac:dyDescent="0.3">
      <c r="B296" t="s">
        <v>13</v>
      </c>
      <c r="C296">
        <f t="shared" si="12"/>
        <v>2007</v>
      </c>
      <c r="D296">
        <v>5.1280224251498172</v>
      </c>
      <c r="E296">
        <v>8360.3377591659573</v>
      </c>
      <c r="F296">
        <v>8.57</v>
      </c>
      <c r="G296">
        <v>41.030921148638789</v>
      </c>
      <c r="H296">
        <v>25.888152027629594</v>
      </c>
      <c r="I296">
        <v>1.7771147828060903</v>
      </c>
      <c r="J296">
        <v>18.2</v>
      </c>
      <c r="K296">
        <v>63.464558338194053</v>
      </c>
      <c r="L296">
        <v>27.4</v>
      </c>
      <c r="M296" s="2">
        <v>10.59</v>
      </c>
      <c r="N296">
        <v>7.234</v>
      </c>
      <c r="O296" s="4">
        <v>455.31279999999998</v>
      </c>
      <c r="P296">
        <v>31.337018791325448</v>
      </c>
    </row>
    <row r="297" spans="2:16" x14ac:dyDescent="0.3">
      <c r="B297" t="s">
        <v>13</v>
      </c>
      <c r="C297">
        <f t="shared" si="12"/>
        <v>2008</v>
      </c>
      <c r="D297">
        <v>5.130506442365629</v>
      </c>
      <c r="E297">
        <v>10435.156123078721</v>
      </c>
      <c r="F297">
        <v>11.2</v>
      </c>
      <c r="G297">
        <v>39.845433832132521</v>
      </c>
      <c r="H297">
        <v>26.471765502801897</v>
      </c>
      <c r="I297">
        <v>1.0776525648131041</v>
      </c>
      <c r="J297">
        <v>20.399999999999999</v>
      </c>
      <c r="K297">
        <v>62.332276800497347</v>
      </c>
      <c r="L297">
        <v>26.5</v>
      </c>
      <c r="M297" s="2">
        <v>10.67</v>
      </c>
      <c r="N297">
        <v>9.3070000000000004</v>
      </c>
      <c r="O297" s="4">
        <v>611.72064</v>
      </c>
      <c r="P297">
        <v>33.093684435547836</v>
      </c>
    </row>
    <row r="298" spans="2:16" x14ac:dyDescent="0.3">
      <c r="B298" t="s">
        <v>13</v>
      </c>
      <c r="C298">
        <f t="shared" si="12"/>
        <v>2009</v>
      </c>
      <c r="D298">
        <v>4.2072937127687862</v>
      </c>
      <c r="E298">
        <v>8548.454340924196</v>
      </c>
      <c r="F298">
        <v>12.71</v>
      </c>
      <c r="G298">
        <v>37.530596063019274</v>
      </c>
      <c r="H298">
        <v>27.246871444823661</v>
      </c>
      <c r="I298">
        <v>1.7771572379080911</v>
      </c>
      <c r="J298">
        <v>22.1</v>
      </c>
      <c r="K298">
        <v>54.50043633254451</v>
      </c>
      <c r="L298">
        <v>25.7</v>
      </c>
      <c r="M298" s="2">
        <v>10.7</v>
      </c>
      <c r="N298">
        <v>-5.5170000000000003</v>
      </c>
      <c r="O298" s="4">
        <v>387.89992999999998</v>
      </c>
      <c r="P298">
        <v>27.20268756323933</v>
      </c>
    </row>
    <row r="299" spans="2:16" x14ac:dyDescent="0.3">
      <c r="B299" t="s">
        <v>13</v>
      </c>
      <c r="C299">
        <f t="shared" si="12"/>
        <v>2010</v>
      </c>
      <c r="D299">
        <v>4.1164187789807132</v>
      </c>
      <c r="E299">
        <v>8399.5374234284045</v>
      </c>
      <c r="F299">
        <v>13.71</v>
      </c>
      <c r="G299">
        <v>34.014988766624576</v>
      </c>
      <c r="H299">
        <v>33.196674264910868</v>
      </c>
      <c r="I299">
        <v>1.1348169041801275</v>
      </c>
      <c r="J299">
        <v>24.1</v>
      </c>
      <c r="K299">
        <v>65.673963743009267</v>
      </c>
      <c r="L299">
        <v>25</v>
      </c>
      <c r="M299" s="2">
        <v>10.73</v>
      </c>
      <c r="N299">
        <v>-3.9060000000000001</v>
      </c>
      <c r="O299" s="4">
        <v>500.01101999999997</v>
      </c>
      <c r="P299">
        <v>27.189079420295219</v>
      </c>
    </row>
    <row r="300" spans="2:16" x14ac:dyDescent="0.3">
      <c r="B300" t="s">
        <v>13</v>
      </c>
      <c r="C300">
        <f t="shared" si="12"/>
        <v>2011</v>
      </c>
      <c r="D300">
        <v>4.4580605620699476</v>
      </c>
      <c r="E300">
        <v>9560.6755277458033</v>
      </c>
      <c r="F300">
        <v>12.52</v>
      </c>
      <c r="G300">
        <v>39.865310124242569</v>
      </c>
      <c r="H300">
        <v>24.022373306331065</v>
      </c>
      <c r="I300">
        <v>1.2359965925711622</v>
      </c>
      <c r="J300">
        <v>21.1</v>
      </c>
      <c r="K300">
        <v>72.428677636721247</v>
      </c>
      <c r="L300">
        <v>24.9</v>
      </c>
      <c r="M300" s="2">
        <v>10.86</v>
      </c>
      <c r="N300">
        <v>4.4960000000000004</v>
      </c>
      <c r="O300" s="4">
        <v>699.77544999999998</v>
      </c>
      <c r="P300">
        <v>27.809701397225982</v>
      </c>
    </row>
    <row r="301" spans="2:16" x14ac:dyDescent="0.3">
      <c r="B301" t="s">
        <v>13</v>
      </c>
      <c r="C301">
        <f t="shared" si="12"/>
        <v>2012</v>
      </c>
      <c r="D301">
        <v>4.3690122187941141</v>
      </c>
      <c r="E301">
        <v>8929.9536623147415</v>
      </c>
      <c r="F301">
        <v>12.28</v>
      </c>
      <c r="G301">
        <v>38.804301803709038</v>
      </c>
      <c r="H301">
        <v>20.89423321195698</v>
      </c>
      <c r="I301">
        <v>1.2719112541282072</v>
      </c>
      <c r="J301">
        <v>21.5</v>
      </c>
      <c r="K301">
        <v>71.488339474259064</v>
      </c>
      <c r="L301">
        <v>25.4</v>
      </c>
      <c r="M301" s="2">
        <v>10.96</v>
      </c>
      <c r="N301">
        <v>1.9039999999999999</v>
      </c>
      <c r="O301" s="4">
        <v>702.38007000000005</v>
      </c>
      <c r="P301">
        <v>26.722242728641159</v>
      </c>
    </row>
    <row r="302" spans="2:16" x14ac:dyDescent="0.3">
      <c r="B302" t="s">
        <v>13</v>
      </c>
      <c r="C302">
        <f t="shared" si="12"/>
        <v>2013</v>
      </c>
      <c r="D302">
        <v>3.9798049339528982</v>
      </c>
      <c r="E302">
        <v>9497.6741161523732</v>
      </c>
      <c r="F302">
        <v>14.99</v>
      </c>
      <c r="G302">
        <v>28.790245890504007</v>
      </c>
      <c r="H302">
        <v>25.995109360141281</v>
      </c>
      <c r="I302">
        <v>0.95095775030566498</v>
      </c>
      <c r="J302">
        <v>23.1</v>
      </c>
      <c r="K302">
        <v>73.402015213240574</v>
      </c>
      <c r="L302">
        <v>25.4</v>
      </c>
      <c r="M302" s="2">
        <v>11.02</v>
      </c>
      <c r="N302">
        <v>0.27900000000000003</v>
      </c>
      <c r="O302" s="4">
        <v>683.44029999999998</v>
      </c>
      <c r="P302">
        <v>25.251490578404585</v>
      </c>
    </row>
    <row r="303" spans="2:16" x14ac:dyDescent="0.3">
      <c r="B303" t="s">
        <v>13</v>
      </c>
      <c r="C303">
        <f t="shared" si="12"/>
        <v>2014</v>
      </c>
      <c r="D303">
        <v>3.9675665939473843</v>
      </c>
      <c r="E303">
        <v>10031.771075540391</v>
      </c>
      <c r="F303">
        <v>17.05</v>
      </c>
      <c r="G303">
        <v>27.114927827516901</v>
      </c>
      <c r="H303">
        <v>29.356233631768074</v>
      </c>
      <c r="I303">
        <v>0.7399963456970583</v>
      </c>
      <c r="J303">
        <v>24.3</v>
      </c>
      <c r="K303">
        <v>73.839018212601175</v>
      </c>
      <c r="L303">
        <v>24.5</v>
      </c>
      <c r="M303" s="2">
        <v>10.86</v>
      </c>
      <c r="N303">
        <v>4.1159999999999997</v>
      </c>
      <c r="O303" s="4">
        <v>622.35059999999999</v>
      </c>
      <c r="P303">
        <v>25.225719646287594</v>
      </c>
    </row>
    <row r="304" spans="2:16" x14ac:dyDescent="0.3">
      <c r="B304" t="s">
        <v>13</v>
      </c>
      <c r="C304">
        <f t="shared" si="12"/>
        <v>2015</v>
      </c>
      <c r="D304">
        <v>4.0525613738174977</v>
      </c>
      <c r="E304">
        <v>8977.0174815819646</v>
      </c>
      <c r="F304">
        <v>16.64</v>
      </c>
      <c r="G304">
        <v>27.482804392421865</v>
      </c>
      <c r="H304">
        <v>25.653131410643176</v>
      </c>
      <c r="I304">
        <v>0.71497526245927356</v>
      </c>
      <c r="J304">
        <v>23.7</v>
      </c>
      <c r="K304">
        <v>73.316414413416851</v>
      </c>
      <c r="L304">
        <v>24.8</v>
      </c>
      <c r="M304" s="2">
        <v>10.98</v>
      </c>
      <c r="N304">
        <v>3.157</v>
      </c>
      <c r="O304" s="4">
        <v>329.50225999999998</v>
      </c>
      <c r="P304">
        <v>25.49601528934307</v>
      </c>
    </row>
    <row r="305" spans="2:16" x14ac:dyDescent="0.3">
      <c r="B305" t="s">
        <v>13</v>
      </c>
      <c r="C305">
        <f t="shared" si="12"/>
        <v>2016</v>
      </c>
      <c r="D305">
        <v>3.9947941016127739</v>
      </c>
      <c r="E305">
        <v>9404.540058707149</v>
      </c>
      <c r="F305">
        <v>16.61</v>
      </c>
      <c r="G305">
        <v>24.547255886825493</v>
      </c>
      <c r="H305">
        <v>28.471806214767369</v>
      </c>
      <c r="I305">
        <v>1.0813633780317344</v>
      </c>
      <c r="J305">
        <v>24.4</v>
      </c>
      <c r="K305">
        <v>74.528271436645639</v>
      </c>
      <c r="L305">
        <v>23.7</v>
      </c>
      <c r="M305" s="2">
        <v>11.08</v>
      </c>
      <c r="N305">
        <v>2.86</v>
      </c>
      <c r="O305" s="4">
        <v>275.07916</v>
      </c>
      <c r="P305">
        <v>23.664687352211207</v>
      </c>
    </row>
    <row r="306" spans="2:16" x14ac:dyDescent="0.3">
      <c r="B306" t="s">
        <v>13</v>
      </c>
      <c r="C306">
        <f t="shared" si="12"/>
        <v>2017</v>
      </c>
      <c r="D306">
        <v>4.1757869262991472</v>
      </c>
      <c r="E306">
        <v>10727.982200742588</v>
      </c>
      <c r="F306">
        <v>15.33</v>
      </c>
      <c r="G306">
        <v>26.21780515117581</v>
      </c>
      <c r="H306">
        <v>23.100970511384844</v>
      </c>
      <c r="I306">
        <v>0.98295383849695173</v>
      </c>
      <c r="J306">
        <v>23.4</v>
      </c>
      <c r="K306">
        <v>74.351150914386054</v>
      </c>
      <c r="L306">
        <v>24.9</v>
      </c>
      <c r="M306" s="2">
        <v>11.15</v>
      </c>
      <c r="N306">
        <v>8.1950000000000003</v>
      </c>
      <c r="O306" s="4">
        <v>340.85962000000001</v>
      </c>
      <c r="P306">
        <v>23.986737756226187</v>
      </c>
    </row>
    <row r="307" spans="2:16" x14ac:dyDescent="0.3">
      <c r="B307" t="s">
        <v>13</v>
      </c>
      <c r="C307">
        <f t="shared" si="12"/>
        <v>2018</v>
      </c>
      <c r="D307">
        <v>4.2621971791062636</v>
      </c>
      <c r="E307">
        <v>12416.134317958962</v>
      </c>
      <c r="F307">
        <v>15.61</v>
      </c>
      <c r="G307">
        <v>24.278623836241444</v>
      </c>
      <c r="H307">
        <v>27.894753067390099</v>
      </c>
      <c r="I307">
        <v>0.92175843146926439</v>
      </c>
      <c r="J307">
        <v>23</v>
      </c>
      <c r="K307">
        <v>73.371914809749597</v>
      </c>
      <c r="L307">
        <v>24.9</v>
      </c>
      <c r="M307" s="2">
        <v>11.215</v>
      </c>
      <c r="N307">
        <v>6.1210000000000004</v>
      </c>
      <c r="O307" s="4">
        <v>448.52600000000001</v>
      </c>
      <c r="P307">
        <v>23.043574245694764</v>
      </c>
    </row>
    <row r="308" spans="2:16" x14ac:dyDescent="0.3">
      <c r="B308" t="s">
        <v>13</v>
      </c>
      <c r="C308">
        <f t="shared" si="12"/>
        <v>2019</v>
      </c>
      <c r="D308">
        <v>4.1892254081841669</v>
      </c>
      <c r="E308">
        <v>12909.610401324388</v>
      </c>
      <c r="F308">
        <v>15.3</v>
      </c>
      <c r="G308">
        <v>23.026735097782698</v>
      </c>
      <c r="H308">
        <v>26.844117943041155</v>
      </c>
      <c r="I308">
        <v>1.0029854751601759</v>
      </c>
      <c r="J308">
        <v>23.5</v>
      </c>
      <c r="K308">
        <v>69.343691160525893</v>
      </c>
      <c r="L308">
        <v>24.5</v>
      </c>
      <c r="M308" s="2">
        <v>11.28</v>
      </c>
      <c r="N308">
        <v>3.923</v>
      </c>
      <c r="O308" s="4">
        <v>403.87164000000001</v>
      </c>
      <c r="P308">
        <v>24.407379313943348</v>
      </c>
    </row>
    <row r="309" spans="2:16" x14ac:dyDescent="0.3">
      <c r="B309" t="s">
        <v>13</v>
      </c>
      <c r="C309">
        <f t="shared" si="12"/>
        <v>2020</v>
      </c>
      <c r="D309">
        <v>3.9294117647058826</v>
      </c>
      <c r="E309">
        <v>13009.177057322293</v>
      </c>
      <c r="F309">
        <v>15.79</v>
      </c>
      <c r="G309">
        <v>16.950334322594486</v>
      </c>
      <c r="H309">
        <v>28.070583187327923</v>
      </c>
      <c r="I309">
        <v>1.0726928165337719</v>
      </c>
      <c r="J309">
        <v>24.1</v>
      </c>
      <c r="K309">
        <v>64.977543586442437</v>
      </c>
      <c r="L309">
        <v>24.2</v>
      </c>
      <c r="M309" s="2">
        <v>11.39</v>
      </c>
      <c r="N309">
        <v>-3.6739999999999999</v>
      </c>
      <c r="O309" s="4">
        <v>263.15481999999997</v>
      </c>
      <c r="P309">
        <v>24.331963491398067</v>
      </c>
    </row>
    <row r="310" spans="2:16" x14ac:dyDescent="0.3">
      <c r="B310" t="s">
        <v>13</v>
      </c>
      <c r="C310">
        <f t="shared" si="12"/>
        <v>2021</v>
      </c>
      <c r="D310">
        <v>4.222688571351024</v>
      </c>
      <c r="E310">
        <v>14907.980365214295</v>
      </c>
      <c r="F310">
        <v>15.15</v>
      </c>
      <c r="G310">
        <v>18.237766941314948</v>
      </c>
      <c r="H310">
        <v>29.838574070960149</v>
      </c>
      <c r="I310">
        <v>1.2712291911888347</v>
      </c>
      <c r="J310">
        <v>23.6</v>
      </c>
      <c r="K310">
        <v>71.41757665600295</v>
      </c>
      <c r="L310">
        <v>24</v>
      </c>
      <c r="M310" s="2">
        <v>11.46</v>
      </c>
      <c r="N310">
        <v>5.5460000000000003</v>
      </c>
      <c r="O310" s="4">
        <v>446.02163999999999</v>
      </c>
      <c r="P310">
        <v>26.423113898858315</v>
      </c>
    </row>
    <row r="311" spans="2:16" x14ac:dyDescent="0.3">
      <c r="B311" t="s">
        <v>14</v>
      </c>
      <c r="C311">
        <v>2000</v>
      </c>
      <c r="D311">
        <v>11.46785815732531</v>
      </c>
      <c r="E311">
        <v>1771.59411621094</v>
      </c>
      <c r="F311">
        <v>7.84</v>
      </c>
      <c r="G311">
        <v>20.007040600797936</v>
      </c>
      <c r="H311">
        <v>18.840442669230754</v>
      </c>
      <c r="I311">
        <v>3.7699113431142237</v>
      </c>
      <c r="J311">
        <v>3.5</v>
      </c>
      <c r="K311">
        <v>57.716267347900484</v>
      </c>
      <c r="L311">
        <v>27.6</v>
      </c>
      <c r="M311" s="2">
        <v>12.058655999999999</v>
      </c>
      <c r="N311">
        <v>10.054</v>
      </c>
      <c r="O311" s="4">
        <v>179.23068000000001</v>
      </c>
      <c r="P311">
        <v>18.693760194768807</v>
      </c>
    </row>
    <row r="312" spans="2:16" x14ac:dyDescent="0.3">
      <c r="B312" t="s">
        <v>14</v>
      </c>
      <c r="C312">
        <v>2001</v>
      </c>
      <c r="D312">
        <v>11.538001032248468</v>
      </c>
      <c r="E312">
        <v>2100.3525390625</v>
      </c>
      <c r="F312">
        <v>8.16</v>
      </c>
      <c r="G312">
        <v>18.935939610718918</v>
      </c>
      <c r="H312">
        <v>19.72996261573191</v>
      </c>
      <c r="I312">
        <v>3.3681744539338752</v>
      </c>
      <c r="J312">
        <v>3.6</v>
      </c>
      <c r="K312">
        <v>50.765475812019133</v>
      </c>
      <c r="L312">
        <v>27.9</v>
      </c>
      <c r="M312" s="2">
        <v>12.119327999999999</v>
      </c>
      <c r="N312">
        <v>5.0819999999999999</v>
      </c>
      <c r="O312" s="4">
        <v>153.74719999999999</v>
      </c>
      <c r="P312">
        <v>21.949817334941756</v>
      </c>
    </row>
    <row r="313" spans="2:16" x14ac:dyDescent="0.3">
      <c r="B313" t="s">
        <v>14</v>
      </c>
      <c r="C313">
        <f>C312+1</f>
        <v>2002</v>
      </c>
      <c r="D313">
        <v>11.5293860535362</v>
      </c>
      <c r="E313">
        <v>2377.52954101563</v>
      </c>
      <c r="F313">
        <v>8.24</v>
      </c>
      <c r="G313">
        <v>19.112405122940473</v>
      </c>
      <c r="H313">
        <v>18.421716959221797</v>
      </c>
      <c r="I313">
        <v>3.0756716426283401</v>
      </c>
      <c r="J313">
        <v>3.5</v>
      </c>
      <c r="K313">
        <v>48.706619731314348</v>
      </c>
      <c r="L313">
        <v>28.1</v>
      </c>
      <c r="M313" s="3">
        <v>12.18</v>
      </c>
      <c r="N313">
        <v>4.7460000000000004</v>
      </c>
      <c r="O313" s="4">
        <v>157.39127999999999</v>
      </c>
      <c r="P313">
        <v>20.029546189003277</v>
      </c>
    </row>
    <row r="314" spans="2:16" x14ac:dyDescent="0.3">
      <c r="B314" t="s">
        <v>14</v>
      </c>
      <c r="C314">
        <f t="shared" ref="C314:C332" si="13">C313+1</f>
        <v>2003</v>
      </c>
      <c r="D314">
        <v>12.010155534289309</v>
      </c>
      <c r="E314">
        <v>2975.123046875</v>
      </c>
      <c r="F314">
        <v>8.24</v>
      </c>
      <c r="G314">
        <v>18.794350235625121</v>
      </c>
      <c r="H314">
        <v>17.212966257260288</v>
      </c>
      <c r="I314">
        <v>2.9592288870505499</v>
      </c>
      <c r="J314">
        <v>3.3</v>
      </c>
      <c r="K314">
        <v>49.262291361923666</v>
      </c>
      <c r="L314">
        <v>30.3</v>
      </c>
      <c r="M314" s="3">
        <v>12.200001</v>
      </c>
      <c r="N314">
        <v>7.3559999999999999</v>
      </c>
      <c r="O314" s="4">
        <v>181.33936</v>
      </c>
      <c r="P314">
        <v>20.858958480734806</v>
      </c>
    </row>
    <row r="315" spans="2:16" x14ac:dyDescent="0.3">
      <c r="B315" t="s">
        <v>14</v>
      </c>
      <c r="C315">
        <f t="shared" si="13"/>
        <v>2004</v>
      </c>
      <c r="D315">
        <v>12.069846570890514</v>
      </c>
      <c r="E315">
        <v>4102.36474609375</v>
      </c>
      <c r="F315">
        <v>8.27</v>
      </c>
      <c r="G315">
        <v>17.256576864674606</v>
      </c>
      <c r="H315">
        <v>19.078192656661642</v>
      </c>
      <c r="I315">
        <v>2.5660369259495743</v>
      </c>
      <c r="J315">
        <v>3.5</v>
      </c>
      <c r="K315">
        <v>47.47564737170039</v>
      </c>
      <c r="L315">
        <v>30.5</v>
      </c>
      <c r="M315" s="3">
        <v>12.22</v>
      </c>
      <c r="N315">
        <v>7.1449999999999996</v>
      </c>
      <c r="O315" s="4">
        <v>240.67920000000001</v>
      </c>
      <c r="P315">
        <v>20.90127507973444</v>
      </c>
    </row>
    <row r="316" spans="2:16" x14ac:dyDescent="0.3">
      <c r="B316" t="s">
        <v>14</v>
      </c>
      <c r="C316">
        <f t="shared" si="13"/>
        <v>2005</v>
      </c>
      <c r="D316">
        <v>12.118983229613367</v>
      </c>
      <c r="E316">
        <v>5323.455078125</v>
      </c>
      <c r="F316">
        <v>8.35</v>
      </c>
      <c r="G316">
        <v>17.359503759366941</v>
      </c>
      <c r="H316">
        <v>18.319857809263802</v>
      </c>
      <c r="I316">
        <v>2.2262419131117235</v>
      </c>
      <c r="J316">
        <v>3.6</v>
      </c>
      <c r="K316">
        <v>48.327785388786644</v>
      </c>
      <c r="L316">
        <v>31.2</v>
      </c>
      <c r="M316" s="3">
        <v>12.240000999999999</v>
      </c>
      <c r="N316">
        <v>6.3970000000000002</v>
      </c>
      <c r="O316" s="4">
        <v>342.92673000000002</v>
      </c>
      <c r="P316">
        <v>20.077496917810258</v>
      </c>
    </row>
    <row r="317" spans="2:16" x14ac:dyDescent="0.3">
      <c r="B317" t="s">
        <v>14</v>
      </c>
      <c r="C317">
        <f t="shared" si="13"/>
        <v>2006</v>
      </c>
      <c r="D317">
        <v>12.416647376742382</v>
      </c>
      <c r="E317">
        <v>6920.19970703125</v>
      </c>
      <c r="F317">
        <v>8.41</v>
      </c>
      <c r="G317">
        <v>17.950399379791403</v>
      </c>
      <c r="H317">
        <v>17.602235000411731</v>
      </c>
      <c r="I317">
        <v>2.4472933156857746</v>
      </c>
      <c r="J317">
        <v>3.5</v>
      </c>
      <c r="K317">
        <v>47.259000242390535</v>
      </c>
      <c r="L317">
        <v>31.3</v>
      </c>
      <c r="M317" s="3">
        <v>12.26</v>
      </c>
      <c r="N317">
        <v>8.1649999999999991</v>
      </c>
      <c r="O317" s="4">
        <v>409.74313000000001</v>
      </c>
      <c r="P317">
        <v>21.171591803347351</v>
      </c>
    </row>
    <row r="318" spans="2:16" x14ac:dyDescent="0.3">
      <c r="B318" t="s">
        <v>14</v>
      </c>
      <c r="C318">
        <f t="shared" si="13"/>
        <v>2007</v>
      </c>
      <c r="D318">
        <v>12.457859177228066</v>
      </c>
      <c r="E318">
        <v>9101.2392578125</v>
      </c>
      <c r="F318">
        <v>8.58</v>
      </c>
      <c r="G318">
        <v>16.731062616895144</v>
      </c>
      <c r="H318">
        <v>17.627911237003033</v>
      </c>
      <c r="I318">
        <v>1.6973741619744458</v>
      </c>
      <c r="J318">
        <v>3.7</v>
      </c>
      <c r="K318">
        <v>44.463141752540722</v>
      </c>
      <c r="L318">
        <v>32.799999999999997</v>
      </c>
      <c r="M318" s="3">
        <v>12.280001</v>
      </c>
      <c r="N318">
        <v>8.5500000000000007</v>
      </c>
      <c r="O318" s="4">
        <v>455.31279999999998</v>
      </c>
      <c r="P318">
        <v>24.16451403346549</v>
      </c>
    </row>
    <row r="319" spans="2:16" x14ac:dyDescent="0.3">
      <c r="B319" t="s">
        <v>14</v>
      </c>
      <c r="C319">
        <f t="shared" si="13"/>
        <v>2008</v>
      </c>
      <c r="D319">
        <v>12.360419330586128</v>
      </c>
      <c r="E319">
        <v>11635.2841796875</v>
      </c>
      <c r="F319">
        <v>8.34</v>
      </c>
      <c r="G319">
        <v>18.911281369577818</v>
      </c>
      <c r="H319">
        <v>16.024064307334154</v>
      </c>
      <c r="I319">
        <v>1.5478974489104451</v>
      </c>
      <c r="J319">
        <v>3.3</v>
      </c>
      <c r="K319">
        <v>45.968503631815253</v>
      </c>
      <c r="L319">
        <v>32.5</v>
      </c>
      <c r="M319" s="3">
        <v>12.3</v>
      </c>
      <c r="N319">
        <v>5.2469999999999999</v>
      </c>
      <c r="O319" s="4">
        <v>611.72064</v>
      </c>
      <c r="P319">
        <v>25.501219708686385</v>
      </c>
    </row>
    <row r="320" spans="2:16" x14ac:dyDescent="0.3">
      <c r="B320" t="s">
        <v>14</v>
      </c>
      <c r="C320">
        <f t="shared" si="13"/>
        <v>2009</v>
      </c>
      <c r="D320">
        <v>11.640562027414745</v>
      </c>
      <c r="E320">
        <v>8562.82421875</v>
      </c>
      <c r="F320">
        <v>9.02</v>
      </c>
      <c r="G320">
        <v>16.543881933103492</v>
      </c>
      <c r="H320">
        <v>17.754188592511948</v>
      </c>
      <c r="I320">
        <v>1.6150527228371538</v>
      </c>
      <c r="J320">
        <v>3.6</v>
      </c>
      <c r="K320">
        <v>40.501587579645296</v>
      </c>
      <c r="L320">
        <v>31.1</v>
      </c>
      <c r="M320" s="3">
        <v>12.32</v>
      </c>
      <c r="N320">
        <v>-7.8209999999999997</v>
      </c>
      <c r="O320" s="4">
        <v>387.89992999999998</v>
      </c>
      <c r="P320">
        <v>18.92637573549678</v>
      </c>
    </row>
    <row r="321" spans="2:16" x14ac:dyDescent="0.3">
      <c r="B321" t="s">
        <v>14</v>
      </c>
      <c r="C321">
        <f t="shared" si="13"/>
        <v>2010</v>
      </c>
      <c r="D321">
        <v>12.228934587281767</v>
      </c>
      <c r="E321">
        <v>10674.990234375</v>
      </c>
      <c r="F321">
        <v>8.58</v>
      </c>
      <c r="G321">
        <v>16.000886294230419</v>
      </c>
      <c r="H321">
        <v>16.222748860822904</v>
      </c>
      <c r="I321">
        <v>0.89708389930926846</v>
      </c>
      <c r="J321">
        <v>3.3</v>
      </c>
      <c r="K321">
        <v>42.57701378167728</v>
      </c>
      <c r="L321">
        <v>30.6</v>
      </c>
      <c r="M321" s="3">
        <v>12.34</v>
      </c>
      <c r="N321">
        <v>4.5119999999999996</v>
      </c>
      <c r="O321" s="4">
        <v>500.01101999999997</v>
      </c>
      <c r="P321">
        <v>22.615050551973564</v>
      </c>
    </row>
    <row r="322" spans="2:16" x14ac:dyDescent="0.3">
      <c r="B322" t="s">
        <v>14</v>
      </c>
      <c r="C322">
        <f t="shared" si="13"/>
        <v>2011</v>
      </c>
      <c r="D322">
        <v>12.813840225014726</v>
      </c>
      <c r="E322">
        <v>14305.33203125</v>
      </c>
      <c r="F322">
        <v>8.4</v>
      </c>
      <c r="G322">
        <v>15.581480234933847</v>
      </c>
      <c r="H322">
        <v>15.890553820045222</v>
      </c>
      <c r="I322">
        <v>2.5941323422752935</v>
      </c>
      <c r="J322">
        <v>3.2</v>
      </c>
      <c r="K322">
        <v>41.342812117180685</v>
      </c>
      <c r="L322">
        <v>31.1</v>
      </c>
      <c r="M322" s="3">
        <v>12.346363999999999</v>
      </c>
      <c r="N322">
        <v>3.9950000000000001</v>
      </c>
      <c r="O322" s="4">
        <v>699.77544999999998</v>
      </c>
      <c r="P322">
        <v>24.260737931263932</v>
      </c>
    </row>
    <row r="323" spans="2:16" x14ac:dyDescent="0.3">
      <c r="B323" t="s">
        <v>14</v>
      </c>
      <c r="C323">
        <f t="shared" si="13"/>
        <v>2012</v>
      </c>
      <c r="D323">
        <v>12.69229816668331</v>
      </c>
      <c r="E323">
        <v>15401.8515625</v>
      </c>
      <c r="F323">
        <v>8.4600000000000009</v>
      </c>
      <c r="G323">
        <v>15.776747539538297</v>
      </c>
      <c r="H323">
        <v>15.626570184564981</v>
      </c>
      <c r="I323">
        <v>2.6208189895903184</v>
      </c>
      <c r="J323">
        <v>3.2</v>
      </c>
      <c r="K323">
        <v>39.157022329813195</v>
      </c>
      <c r="L323">
        <v>32.200000000000003</v>
      </c>
      <c r="M323" s="3">
        <v>12.352727</v>
      </c>
      <c r="N323">
        <v>4.024</v>
      </c>
      <c r="O323" s="4">
        <v>702.38007000000005</v>
      </c>
      <c r="P323">
        <v>24.55369335451681</v>
      </c>
    </row>
    <row r="324" spans="2:16" x14ac:dyDescent="0.3">
      <c r="B324" t="s">
        <v>14</v>
      </c>
      <c r="C324">
        <f t="shared" si="13"/>
        <v>2013</v>
      </c>
      <c r="D324">
        <v>12.26827560126676</v>
      </c>
      <c r="E324">
        <v>15941.4482421875</v>
      </c>
      <c r="F324">
        <v>8.66</v>
      </c>
      <c r="G324">
        <v>15.284413440947528</v>
      </c>
      <c r="H324">
        <v>17.246282664773222</v>
      </c>
      <c r="I324">
        <v>0.82202490435202991</v>
      </c>
      <c r="J324">
        <v>3.6</v>
      </c>
      <c r="K324">
        <v>37.649564465532286</v>
      </c>
      <c r="L324">
        <v>32.4</v>
      </c>
      <c r="M324" s="3">
        <v>12.359090999999999</v>
      </c>
      <c r="N324">
        <v>1.7549999999999999</v>
      </c>
      <c r="O324" s="4">
        <v>683.44029999999998</v>
      </c>
      <c r="P324">
        <v>23.271681987019374</v>
      </c>
    </row>
    <row r="325" spans="2:16" x14ac:dyDescent="0.3">
      <c r="B325" t="s">
        <v>14</v>
      </c>
      <c r="C325">
        <f t="shared" si="13"/>
        <v>2014</v>
      </c>
      <c r="D325">
        <v>12.134169416170748</v>
      </c>
      <c r="E325">
        <v>14055.47265625</v>
      </c>
      <c r="F325">
        <v>8.8800000000000008</v>
      </c>
      <c r="G325">
        <v>14.874831682182133</v>
      </c>
      <c r="H325">
        <v>16.645351891126445</v>
      </c>
      <c r="I325">
        <v>1.0057253898912524</v>
      </c>
      <c r="J325">
        <v>3.3</v>
      </c>
      <c r="K325">
        <v>39.076716590646591</v>
      </c>
      <c r="L325">
        <v>27.5</v>
      </c>
      <c r="M325" s="3">
        <v>12.365455000000001</v>
      </c>
      <c r="N325">
        <v>0.73599999999999999</v>
      </c>
      <c r="O325" s="4">
        <v>622.35059999999999</v>
      </c>
      <c r="P325">
        <v>22.390864228773882</v>
      </c>
    </row>
    <row r="326" spans="2:16" x14ac:dyDescent="0.3">
      <c r="B326" t="s">
        <v>14</v>
      </c>
      <c r="C326">
        <f t="shared" si="13"/>
        <v>2015</v>
      </c>
      <c r="D326">
        <v>12.148127778902866</v>
      </c>
      <c r="E326">
        <v>9277.7138671875</v>
      </c>
      <c r="F326">
        <v>9.52</v>
      </c>
      <c r="G326">
        <v>14.851846855960973</v>
      </c>
      <c r="H326">
        <v>15.916346305164003</v>
      </c>
      <c r="I326">
        <v>0.94628418126091285</v>
      </c>
      <c r="J326">
        <v>3.2</v>
      </c>
      <c r="K326">
        <v>39.196551812549195</v>
      </c>
      <c r="L326">
        <v>26.8</v>
      </c>
      <c r="M326" s="3">
        <v>12.371819</v>
      </c>
      <c r="N326">
        <v>-1.9730000000000001</v>
      </c>
      <c r="O326" s="4">
        <v>329.50225999999998</v>
      </c>
      <c r="P326">
        <v>22.148725318158952</v>
      </c>
    </row>
    <row r="327" spans="2:16" x14ac:dyDescent="0.3">
      <c r="B327" t="s">
        <v>14</v>
      </c>
      <c r="C327">
        <f t="shared" si="13"/>
        <v>2016</v>
      </c>
      <c r="D327">
        <v>11.961746699282958</v>
      </c>
      <c r="E327">
        <v>8663.158203125</v>
      </c>
      <c r="F327">
        <v>9.48</v>
      </c>
      <c r="G327">
        <v>15.714687714544723</v>
      </c>
      <c r="H327">
        <v>17.10766444265807</v>
      </c>
      <c r="I327">
        <v>1.0053411037670041</v>
      </c>
      <c r="J327">
        <v>3.4</v>
      </c>
      <c r="K327">
        <v>37.062034668011037</v>
      </c>
      <c r="L327">
        <v>27</v>
      </c>
      <c r="M327" s="3">
        <v>12.378181</v>
      </c>
      <c r="N327">
        <v>0.19400000000000001</v>
      </c>
      <c r="O327" s="4">
        <v>275.07916</v>
      </c>
      <c r="P327">
        <v>23.095422473109615</v>
      </c>
    </row>
    <row r="328" spans="2:16" x14ac:dyDescent="0.3">
      <c r="B328" t="s">
        <v>14</v>
      </c>
      <c r="C328">
        <f t="shared" si="13"/>
        <v>2017</v>
      </c>
      <c r="D328">
        <v>12.135732242500442</v>
      </c>
      <c r="E328">
        <v>10658.9130859375</v>
      </c>
      <c r="F328">
        <v>9.5500000000000007</v>
      </c>
      <c r="G328">
        <v>15.969653327094878</v>
      </c>
      <c r="H328">
        <v>17.100708405831007</v>
      </c>
      <c r="I328">
        <v>0.63740075738745194</v>
      </c>
      <c r="J328">
        <v>3.2</v>
      </c>
      <c r="K328">
        <v>37.563666648077373</v>
      </c>
      <c r="L328">
        <v>26.2</v>
      </c>
      <c r="M328" s="3">
        <v>12.384544999999999</v>
      </c>
      <c r="N328">
        <v>1.827</v>
      </c>
      <c r="O328" s="4">
        <v>340.85962000000001</v>
      </c>
      <c r="P328">
        <v>23.606755862165084</v>
      </c>
    </row>
    <row r="329" spans="2:16" x14ac:dyDescent="0.3">
      <c r="B329" t="s">
        <v>14</v>
      </c>
      <c r="C329">
        <f t="shared" si="13"/>
        <v>2018</v>
      </c>
      <c r="D329">
        <v>12.593924710408539</v>
      </c>
      <c r="E329">
        <v>11211.8876953125</v>
      </c>
      <c r="F329">
        <v>9.19</v>
      </c>
      <c r="G329">
        <v>15.954812737592292</v>
      </c>
      <c r="H329">
        <v>17.310394738376083</v>
      </c>
      <c r="I329">
        <v>0.71796702158474679</v>
      </c>
      <c r="J329">
        <v>3.2</v>
      </c>
      <c r="K329">
        <v>41.800396583543311</v>
      </c>
      <c r="L329">
        <v>26.3</v>
      </c>
      <c r="M329" s="3">
        <v>12.390909000000001</v>
      </c>
      <c r="N329">
        <v>2.806</v>
      </c>
      <c r="O329" s="4">
        <v>448.52600000000001</v>
      </c>
      <c r="P329">
        <v>21.918089151246321</v>
      </c>
    </row>
    <row r="330" spans="2:16" x14ac:dyDescent="0.3">
      <c r="B330" t="s">
        <v>14</v>
      </c>
      <c r="C330">
        <f t="shared" si="13"/>
        <v>2019</v>
      </c>
      <c r="D330">
        <v>12.773873916678861</v>
      </c>
      <c r="E330">
        <v>11447.701171875</v>
      </c>
      <c r="F330">
        <v>9.74</v>
      </c>
      <c r="G330">
        <v>16.786477299882659</v>
      </c>
      <c r="H330">
        <v>17.522193649174493</v>
      </c>
      <c r="I330">
        <v>0.76309059716877159</v>
      </c>
      <c r="J330">
        <v>3.2</v>
      </c>
      <c r="K330">
        <v>39.784480021883375</v>
      </c>
      <c r="L330">
        <v>26.9</v>
      </c>
      <c r="M330" s="3">
        <v>12.397273</v>
      </c>
      <c r="N330">
        <v>2.198</v>
      </c>
      <c r="O330" s="4">
        <v>403.87164000000001</v>
      </c>
      <c r="P330">
        <v>22.661513772223454</v>
      </c>
    </row>
    <row r="331" spans="2:16" x14ac:dyDescent="0.3">
      <c r="B331" t="s">
        <v>14</v>
      </c>
      <c r="C331">
        <f t="shared" si="13"/>
        <v>2020</v>
      </c>
      <c r="D331">
        <v>12.284053027368598</v>
      </c>
      <c r="E331">
        <v>10108.3271484375</v>
      </c>
      <c r="F331">
        <v>10.26</v>
      </c>
      <c r="G331">
        <v>16.154935406872006</v>
      </c>
      <c r="H331">
        <v>19.674634544314916</v>
      </c>
      <c r="I331">
        <v>0.68718241444404571</v>
      </c>
      <c r="J331">
        <v>3.7</v>
      </c>
      <c r="K331">
        <v>38.418542698732374</v>
      </c>
      <c r="L331">
        <v>25.7</v>
      </c>
      <c r="M331" s="3">
        <v>12.403636000000001</v>
      </c>
      <c r="N331">
        <v>-2.6539999999999999</v>
      </c>
      <c r="O331" s="4">
        <v>263.15481999999997</v>
      </c>
      <c r="P331">
        <v>23.455829148015802</v>
      </c>
    </row>
    <row r="332" spans="2:16" x14ac:dyDescent="0.3">
      <c r="B332" t="s">
        <v>14</v>
      </c>
      <c r="C332">
        <f t="shared" si="13"/>
        <v>2021</v>
      </c>
      <c r="D332">
        <v>13.392075741217617</v>
      </c>
      <c r="E332">
        <v>12425.029296875</v>
      </c>
      <c r="F332">
        <v>9.43</v>
      </c>
      <c r="G332">
        <v>16.155633525844046</v>
      </c>
      <c r="H332">
        <v>18.66387905635251</v>
      </c>
      <c r="I332">
        <v>0.73545647118894342</v>
      </c>
      <c r="J332">
        <v>3.5</v>
      </c>
      <c r="K332">
        <v>43.473254615839309</v>
      </c>
      <c r="L332">
        <v>26.6</v>
      </c>
      <c r="M332" s="3">
        <v>12.41</v>
      </c>
      <c r="N332">
        <v>5.8659999999999997</v>
      </c>
      <c r="O332" s="4">
        <v>446.02163999999999</v>
      </c>
      <c r="P332">
        <v>23.009339222606094</v>
      </c>
    </row>
    <row r="333" spans="2:16" x14ac:dyDescent="0.3">
      <c r="B333" t="s">
        <v>15</v>
      </c>
      <c r="C333">
        <v>2000</v>
      </c>
      <c r="D333">
        <v>6.5355486502701892</v>
      </c>
      <c r="E333">
        <v>29632.589081162329</v>
      </c>
      <c r="F333">
        <v>45.87</v>
      </c>
      <c r="G333">
        <v>1.7457629452177386</v>
      </c>
      <c r="H333">
        <v>54.120716478735567</v>
      </c>
      <c r="I333">
        <v>1.0553054396761803</v>
      </c>
      <c r="J333">
        <v>39.799999999999997</v>
      </c>
      <c r="K333">
        <v>60.863382690371672</v>
      </c>
      <c r="L333">
        <v>21.8</v>
      </c>
      <c r="M333" s="3">
        <v>11.446667</v>
      </c>
      <c r="N333">
        <v>4.6310000000000002</v>
      </c>
      <c r="O333" s="4">
        <v>179.23068000000001</v>
      </c>
      <c r="P333">
        <v>22.231175597554774</v>
      </c>
    </row>
    <row r="334" spans="2:16" x14ac:dyDescent="0.3">
      <c r="B334" t="s">
        <v>15</v>
      </c>
      <c r="C334">
        <v>2001</v>
      </c>
      <c r="D334">
        <v>6.5263782660893259</v>
      </c>
      <c r="E334">
        <v>27259.317430021718</v>
      </c>
      <c r="F334">
        <v>50.91</v>
      </c>
      <c r="G334">
        <v>2.0109270683158331</v>
      </c>
      <c r="H334">
        <v>48.931733666631608</v>
      </c>
      <c r="I334">
        <v>1.429305085479869</v>
      </c>
      <c r="J334">
        <v>37.4</v>
      </c>
      <c r="K334">
        <v>57.256190134558516</v>
      </c>
      <c r="L334">
        <v>21.5</v>
      </c>
      <c r="M334" s="3">
        <v>11.63</v>
      </c>
      <c r="N334">
        <v>1.361</v>
      </c>
      <c r="O334" s="4">
        <v>153.74719999999999</v>
      </c>
      <c r="P334">
        <v>22.303919220180262</v>
      </c>
    </row>
    <row r="335" spans="2:16" x14ac:dyDescent="0.3">
      <c r="B335" t="s">
        <v>15</v>
      </c>
      <c r="C335">
        <f>C334+1</f>
        <v>2002</v>
      </c>
      <c r="D335">
        <v>6.6542273924426318</v>
      </c>
      <c r="E335">
        <v>29957.77766649162</v>
      </c>
      <c r="F335">
        <v>45.63</v>
      </c>
      <c r="G335">
        <v>2.5317749684805944</v>
      </c>
      <c r="H335">
        <v>45.248236617030699</v>
      </c>
      <c r="I335">
        <v>2.0138344634886018</v>
      </c>
      <c r="J335">
        <v>35.9</v>
      </c>
      <c r="K335">
        <v>55.523409851707008</v>
      </c>
      <c r="L335">
        <v>20.9</v>
      </c>
      <c r="M335" s="3">
        <v>11.813333500000001</v>
      </c>
      <c r="N335">
        <v>2.278</v>
      </c>
      <c r="O335" s="4">
        <v>157.39127999999999</v>
      </c>
      <c r="P335">
        <v>21.604715630589986</v>
      </c>
    </row>
    <row r="336" spans="2:16" x14ac:dyDescent="0.3">
      <c r="B336" t="s">
        <v>15</v>
      </c>
      <c r="C336">
        <f t="shared" ref="C336:C354" si="14">C335+1</f>
        <v>2003</v>
      </c>
      <c r="D336">
        <v>6.6596422127632593</v>
      </c>
      <c r="E336">
        <v>37292.241972780081</v>
      </c>
      <c r="F336">
        <v>44.18</v>
      </c>
      <c r="G336">
        <v>3.2014885149552925</v>
      </c>
      <c r="H336">
        <v>39.574119332235654</v>
      </c>
      <c r="I336">
        <v>2.8581554523505392</v>
      </c>
      <c r="J336">
        <v>34.6</v>
      </c>
      <c r="K336">
        <v>55.569982979258981</v>
      </c>
      <c r="L336">
        <v>20.100000000000001</v>
      </c>
      <c r="M336" s="3">
        <v>11.996667</v>
      </c>
      <c r="N336">
        <v>1.881</v>
      </c>
      <c r="O336" s="4">
        <v>181.33936</v>
      </c>
      <c r="P336">
        <v>21.245941934027044</v>
      </c>
    </row>
    <row r="337" spans="2:16" x14ac:dyDescent="0.3">
      <c r="B337" t="s">
        <v>15</v>
      </c>
      <c r="C337">
        <f t="shared" si="14"/>
        <v>2004</v>
      </c>
      <c r="D337">
        <v>6.4563629124089301</v>
      </c>
      <c r="E337">
        <v>42758.004856492887</v>
      </c>
      <c r="F337">
        <v>48.6</v>
      </c>
      <c r="G337">
        <v>1.6541670511012403</v>
      </c>
      <c r="H337">
        <v>39.659149323175477</v>
      </c>
      <c r="I337">
        <v>1.2877459832078977</v>
      </c>
      <c r="J337">
        <v>35.5</v>
      </c>
      <c r="K337">
        <v>58.172578703503838</v>
      </c>
      <c r="L337">
        <v>21.1</v>
      </c>
      <c r="M337" s="3">
        <v>12.18</v>
      </c>
      <c r="N337">
        <v>4.18</v>
      </c>
      <c r="O337" s="4">
        <v>240.67920000000001</v>
      </c>
      <c r="P337">
        <v>21.162843694200891</v>
      </c>
    </row>
    <row r="338" spans="2:16" x14ac:dyDescent="0.3">
      <c r="B338" t="s">
        <v>15</v>
      </c>
      <c r="C338">
        <f t="shared" si="14"/>
        <v>2005</v>
      </c>
      <c r="D338">
        <v>6.0394446159795834</v>
      </c>
      <c r="E338">
        <v>43378.40773943629</v>
      </c>
      <c r="F338">
        <v>49.35</v>
      </c>
      <c r="G338">
        <v>1.2156404834790293</v>
      </c>
      <c r="H338">
        <v>45.996149840628647</v>
      </c>
      <c r="I338">
        <v>0.8703884873923059</v>
      </c>
      <c r="J338">
        <v>39.299999999999997</v>
      </c>
      <c r="K338">
        <v>61.952042835859189</v>
      </c>
      <c r="L338">
        <v>21.1</v>
      </c>
      <c r="M338" s="3">
        <v>12.26</v>
      </c>
      <c r="N338">
        <v>2.7930000000000001</v>
      </c>
      <c r="O338" s="4">
        <v>342.92673000000002</v>
      </c>
      <c r="P338">
        <v>21.277313898576999</v>
      </c>
    </row>
    <row r="339" spans="2:16" x14ac:dyDescent="0.3">
      <c r="B339" t="s">
        <v>15</v>
      </c>
      <c r="C339">
        <f t="shared" si="14"/>
        <v>2006</v>
      </c>
      <c r="D339">
        <v>6.0677792699855351</v>
      </c>
      <c r="E339">
        <v>46531.376224048472</v>
      </c>
      <c r="F339">
        <v>45.99</v>
      </c>
      <c r="G339">
        <v>1.3882690913147766</v>
      </c>
      <c r="H339">
        <v>43.130473587326378</v>
      </c>
      <c r="I339">
        <v>1.1637474200925977</v>
      </c>
      <c r="J339">
        <v>40.1</v>
      </c>
      <c r="K339">
        <v>65.164851311900975</v>
      </c>
      <c r="L339">
        <v>21.1</v>
      </c>
      <c r="M339" s="3">
        <v>12.33</v>
      </c>
      <c r="N339">
        <v>4.6760000000000002</v>
      </c>
      <c r="O339" s="4">
        <v>409.74313000000001</v>
      </c>
      <c r="P339">
        <v>22.454923000777224</v>
      </c>
    </row>
    <row r="340" spans="2:16" x14ac:dyDescent="0.3">
      <c r="B340" t="s">
        <v>15</v>
      </c>
      <c r="C340">
        <f t="shared" si="14"/>
        <v>2007</v>
      </c>
      <c r="D340">
        <v>5.7764285711162504</v>
      </c>
      <c r="E340">
        <v>53568.305778783222</v>
      </c>
      <c r="F340">
        <v>47.08</v>
      </c>
      <c r="G340">
        <v>1.144894642833161</v>
      </c>
      <c r="H340">
        <v>44.494433327513732</v>
      </c>
      <c r="I340">
        <v>0.72319737849343957</v>
      </c>
      <c r="J340">
        <v>41.8</v>
      </c>
      <c r="K340">
        <v>65.716651899756499</v>
      </c>
      <c r="L340">
        <v>21.6</v>
      </c>
      <c r="M340" s="3">
        <v>12.4</v>
      </c>
      <c r="N340">
        <v>3.2250000000000001</v>
      </c>
      <c r="O340" s="4">
        <v>455.31279999999998</v>
      </c>
      <c r="P340">
        <v>24.07815502689353</v>
      </c>
    </row>
    <row r="341" spans="2:16" x14ac:dyDescent="0.3">
      <c r="B341" t="s">
        <v>15</v>
      </c>
      <c r="C341">
        <f t="shared" si="14"/>
        <v>2008</v>
      </c>
      <c r="D341">
        <v>5.6089518491888564</v>
      </c>
      <c r="E341">
        <v>55817.175972648532</v>
      </c>
      <c r="F341">
        <v>46.45</v>
      </c>
      <c r="G341">
        <v>1.4896226289340033</v>
      </c>
      <c r="H341">
        <v>46.128980658233246</v>
      </c>
      <c r="I341">
        <v>0.58185259734200667</v>
      </c>
      <c r="J341">
        <v>43.2</v>
      </c>
      <c r="K341">
        <v>68.367734080845594</v>
      </c>
      <c r="L341">
        <v>22.4</v>
      </c>
      <c r="M341" s="3">
        <v>12.07</v>
      </c>
      <c r="N341">
        <v>-0.92300000000000004</v>
      </c>
      <c r="O341" s="4">
        <v>611.72064</v>
      </c>
      <c r="P341">
        <v>23.961068117821629</v>
      </c>
    </row>
    <row r="342" spans="2:16" x14ac:dyDescent="0.3">
      <c r="B342" t="s">
        <v>15</v>
      </c>
      <c r="C342">
        <f t="shared" si="14"/>
        <v>2009</v>
      </c>
      <c r="D342">
        <v>5.0460422981519093</v>
      </c>
      <c r="E342">
        <v>46707.642504475087</v>
      </c>
      <c r="F342">
        <v>43.54</v>
      </c>
      <c r="G342">
        <v>1.1701466340000732</v>
      </c>
      <c r="H342">
        <v>48.251727794639265</v>
      </c>
      <c r="I342">
        <v>0.53387940176253335</v>
      </c>
      <c r="J342">
        <v>45.7</v>
      </c>
      <c r="K342">
        <v>57.713617124454927</v>
      </c>
      <c r="L342">
        <v>21.4</v>
      </c>
      <c r="M342" s="3">
        <v>12.14</v>
      </c>
      <c r="N342">
        <v>-4.2560000000000002</v>
      </c>
      <c r="O342" s="4">
        <v>387.89992999999998</v>
      </c>
      <c r="P342">
        <v>20.460300198397476</v>
      </c>
    </row>
    <row r="343" spans="2:16" x14ac:dyDescent="0.3">
      <c r="B343" t="s">
        <v>15</v>
      </c>
      <c r="C343">
        <f t="shared" si="14"/>
        <v>2010</v>
      </c>
      <c r="D343">
        <v>5.6390263897072819</v>
      </c>
      <c r="E343">
        <v>52542.575909029918</v>
      </c>
      <c r="F343">
        <v>42.07</v>
      </c>
      <c r="G343">
        <v>1.8007647359775965</v>
      </c>
      <c r="H343">
        <v>44.767347927942488</v>
      </c>
      <c r="I343">
        <v>1.1942267819156098</v>
      </c>
      <c r="J343">
        <v>44.7</v>
      </c>
      <c r="K343">
        <v>62.403742280874241</v>
      </c>
      <c r="L343">
        <v>21.8</v>
      </c>
      <c r="M343" s="3">
        <v>12.21</v>
      </c>
      <c r="N343">
        <v>5.7510000000000003</v>
      </c>
      <c r="O343" s="4">
        <v>500.01101999999997</v>
      </c>
      <c r="P343">
        <v>22.42190232109461</v>
      </c>
    </row>
    <row r="344" spans="2:16" x14ac:dyDescent="0.3">
      <c r="B344" t="s">
        <v>15</v>
      </c>
      <c r="C344">
        <f t="shared" si="14"/>
        <v>2011</v>
      </c>
      <c r="D344">
        <v>5.1286916698776919</v>
      </c>
      <c r="E344">
        <v>60379.481459932162</v>
      </c>
      <c r="F344">
        <v>44.85</v>
      </c>
      <c r="G344">
        <v>1.3683055749476414</v>
      </c>
      <c r="H344">
        <v>44.251188457830523</v>
      </c>
      <c r="I344">
        <v>0.5259133672417805</v>
      </c>
      <c r="J344">
        <v>45.4</v>
      </c>
      <c r="K344">
        <v>63.797438425613606</v>
      </c>
      <c r="L344">
        <v>21.6</v>
      </c>
      <c r="M344" s="3">
        <v>12.28</v>
      </c>
      <c r="N344">
        <v>3.1640000000000001</v>
      </c>
      <c r="O344" s="4">
        <v>699.77544999999998</v>
      </c>
      <c r="P344">
        <v>23.237315095455457</v>
      </c>
    </row>
    <row r="345" spans="2:16" x14ac:dyDescent="0.3">
      <c r="B345" t="s">
        <v>15</v>
      </c>
      <c r="C345">
        <f t="shared" si="14"/>
        <v>2012</v>
      </c>
      <c r="D345">
        <v>4.8037507508371879</v>
      </c>
      <c r="E345">
        <v>57749.561542085343</v>
      </c>
      <c r="F345">
        <v>48.7</v>
      </c>
      <c r="G345">
        <v>0.8357298527266287</v>
      </c>
      <c r="H345">
        <v>47.464892741998426</v>
      </c>
      <c r="I345">
        <v>0.38904665557963752</v>
      </c>
      <c r="J345">
        <v>48.3</v>
      </c>
      <c r="K345">
        <v>61.261905503050272</v>
      </c>
      <c r="L345">
        <v>21.6</v>
      </c>
      <c r="M345" s="3">
        <v>12.34</v>
      </c>
      <c r="N345">
        <v>-0.41399999999999998</v>
      </c>
      <c r="O345" s="4">
        <v>702.38007000000005</v>
      </c>
      <c r="P345">
        <v>21.993773652535445</v>
      </c>
    </row>
    <row r="346" spans="2:16" x14ac:dyDescent="0.3">
      <c r="B346" t="s">
        <v>15</v>
      </c>
      <c r="C346">
        <f t="shared" si="14"/>
        <v>2013</v>
      </c>
      <c r="D346">
        <v>4.5798712738320022</v>
      </c>
      <c r="E346">
        <v>60843.988879936893</v>
      </c>
      <c r="F346">
        <v>48.06</v>
      </c>
      <c r="G346">
        <v>0.94342086363814415</v>
      </c>
      <c r="H346">
        <v>40.149902719924782</v>
      </c>
      <c r="I346">
        <v>0.26833631484794274</v>
      </c>
      <c r="J346">
        <v>47.3</v>
      </c>
      <c r="K346">
        <v>56.179550887092788</v>
      </c>
      <c r="L346">
        <v>22.2</v>
      </c>
      <c r="M346" s="3">
        <v>12.23</v>
      </c>
      <c r="N346">
        <v>1.1379999999999999</v>
      </c>
      <c r="O346" s="4">
        <v>683.44029999999998</v>
      </c>
      <c r="P346">
        <v>21.899375975039</v>
      </c>
    </row>
    <row r="347" spans="2:16" x14ac:dyDescent="0.3">
      <c r="B347" t="s">
        <v>15</v>
      </c>
      <c r="C347">
        <f t="shared" si="14"/>
        <v>2014</v>
      </c>
      <c r="D347">
        <v>4.4119961510337653</v>
      </c>
      <c r="E347">
        <v>59583.458449171441</v>
      </c>
      <c r="F347">
        <v>49.13</v>
      </c>
      <c r="G347">
        <v>0.71455067257570137</v>
      </c>
      <c r="H347">
        <v>41.566284661889981</v>
      </c>
      <c r="I347">
        <v>0.19523242420101131</v>
      </c>
      <c r="J347">
        <v>48.6</v>
      </c>
      <c r="K347">
        <v>56.576127805925125</v>
      </c>
      <c r="L347">
        <v>22.2</v>
      </c>
      <c r="M347" s="3">
        <v>12.29</v>
      </c>
      <c r="N347">
        <v>2.2959999999999998</v>
      </c>
      <c r="O347" s="4">
        <v>622.35059999999999</v>
      </c>
      <c r="P347">
        <v>22.864489591201682</v>
      </c>
    </row>
    <row r="348" spans="2:16" x14ac:dyDescent="0.3">
      <c r="B348" t="s">
        <v>15</v>
      </c>
      <c r="C348">
        <f t="shared" si="14"/>
        <v>2015</v>
      </c>
      <c r="D348">
        <v>4.3780064997235488</v>
      </c>
      <c r="E348">
        <v>51188.165212049265</v>
      </c>
      <c r="F348">
        <v>51.45</v>
      </c>
      <c r="G348">
        <v>0.77785728385313857</v>
      </c>
      <c r="H348">
        <v>46.535111527832612</v>
      </c>
      <c r="I348">
        <v>0.1554480852743782</v>
      </c>
      <c r="J348">
        <v>51.9</v>
      </c>
      <c r="K348">
        <v>55.50631868828787</v>
      </c>
      <c r="L348">
        <v>22.9</v>
      </c>
      <c r="M348" s="3">
        <v>12.35</v>
      </c>
      <c r="N348">
        <v>4.3879999999999999</v>
      </c>
      <c r="O348" s="4">
        <v>329.50225999999998</v>
      </c>
      <c r="P348">
        <v>23.790669487791828</v>
      </c>
    </row>
    <row r="349" spans="2:16" x14ac:dyDescent="0.3">
      <c r="B349" t="s">
        <v>15</v>
      </c>
      <c r="C349">
        <f t="shared" si="14"/>
        <v>2016</v>
      </c>
      <c r="D349">
        <v>4.2819344992006014</v>
      </c>
      <c r="E349">
        <v>51703.508833285116</v>
      </c>
      <c r="F349">
        <v>48.98</v>
      </c>
      <c r="G349">
        <v>0.67367476443817709</v>
      </c>
      <c r="H349">
        <v>39.828857124543298</v>
      </c>
      <c r="I349">
        <v>0.25511185180437151</v>
      </c>
      <c r="J349">
        <v>50.9</v>
      </c>
      <c r="K349">
        <v>54.635310046482886</v>
      </c>
      <c r="L349">
        <v>23.3</v>
      </c>
      <c r="M349" s="3">
        <v>12.41</v>
      </c>
      <c r="N349">
        <v>2.1309999999999998</v>
      </c>
      <c r="O349" s="4">
        <v>275.07916</v>
      </c>
      <c r="P349">
        <v>24.34911119351867</v>
      </c>
    </row>
    <row r="350" spans="2:16" x14ac:dyDescent="0.3">
      <c r="B350" t="s">
        <v>15</v>
      </c>
      <c r="C350">
        <f t="shared" si="14"/>
        <v>2017</v>
      </c>
      <c r="D350">
        <v>4.1596198255306529</v>
      </c>
      <c r="E350">
        <v>53210.223331896494</v>
      </c>
      <c r="F350">
        <v>50.03</v>
      </c>
      <c r="G350">
        <v>0.74824961948249613</v>
      </c>
      <c r="H350">
        <v>39.676103500761037</v>
      </c>
      <c r="I350">
        <v>0.17656012176560124</v>
      </c>
      <c r="J350">
        <v>51.8</v>
      </c>
      <c r="K350">
        <v>57.389922350477661</v>
      </c>
      <c r="L350">
        <v>22.3</v>
      </c>
      <c r="M350" s="3">
        <v>12.49</v>
      </c>
      <c r="N350">
        <v>1.883</v>
      </c>
      <c r="O350" s="4">
        <v>340.85962000000001</v>
      </c>
      <c r="P350">
        <v>25.091964921529826</v>
      </c>
    </row>
    <row r="351" spans="2:16" x14ac:dyDescent="0.3">
      <c r="B351" t="s">
        <v>15</v>
      </c>
      <c r="C351">
        <f t="shared" si="14"/>
        <v>2018</v>
      </c>
      <c r="D351">
        <v>3.8965568684845349</v>
      </c>
      <c r="E351">
        <v>54018.455439186058</v>
      </c>
      <c r="F351">
        <v>49.83</v>
      </c>
      <c r="G351">
        <v>0.86046511627906974</v>
      </c>
      <c r="H351">
        <v>38.096695226438186</v>
      </c>
      <c r="I351">
        <v>0.18788249694002448</v>
      </c>
      <c r="J351">
        <v>51.6</v>
      </c>
      <c r="K351">
        <v>61.234131114246871</v>
      </c>
      <c r="L351">
        <v>22.9</v>
      </c>
      <c r="M351" s="3">
        <v>12.549999</v>
      </c>
      <c r="N351">
        <v>1.77</v>
      </c>
      <c r="O351" s="4">
        <v>448.52600000000001</v>
      </c>
      <c r="P351">
        <v>25.336025486009671</v>
      </c>
    </row>
    <row r="352" spans="2:16" x14ac:dyDescent="0.3">
      <c r="B352" t="s">
        <v>15</v>
      </c>
      <c r="C352">
        <f t="shared" si="14"/>
        <v>2019</v>
      </c>
      <c r="D352">
        <v>3.8423518032643025</v>
      </c>
      <c r="E352">
        <v>51648.989282051407</v>
      </c>
      <c r="F352">
        <v>51.14</v>
      </c>
      <c r="G352">
        <v>0.70233140780935532</v>
      </c>
      <c r="H352">
        <v>38.822956678678928</v>
      </c>
      <c r="I352">
        <v>0.12883002155082848</v>
      </c>
      <c r="J352">
        <v>52.9</v>
      </c>
      <c r="K352">
        <v>60.190344035981148</v>
      </c>
      <c r="L352">
        <v>22.7</v>
      </c>
      <c r="M352" s="3">
        <v>12.61</v>
      </c>
      <c r="N352">
        <v>2.6080000000000001</v>
      </c>
      <c r="O352" s="4">
        <v>403.87164000000001</v>
      </c>
      <c r="P352">
        <v>24.477245507312528</v>
      </c>
    </row>
    <row r="353" spans="2:16" x14ac:dyDescent="0.3">
      <c r="B353" t="s">
        <v>15</v>
      </c>
      <c r="C353">
        <f t="shared" si="14"/>
        <v>2020</v>
      </c>
      <c r="D353">
        <v>3.6740245417900641</v>
      </c>
      <c r="E353">
        <v>52568.572698014643</v>
      </c>
      <c r="F353">
        <v>49.58</v>
      </c>
      <c r="G353">
        <v>0.40223886518589053</v>
      </c>
      <c r="H353">
        <v>44.215756288415641</v>
      </c>
      <c r="I353">
        <v>8.6063247331123777E-2</v>
      </c>
      <c r="J353">
        <v>57.8</v>
      </c>
      <c r="K353">
        <v>56.127185252935298</v>
      </c>
      <c r="L353">
        <v>22.4</v>
      </c>
      <c r="M353" s="3">
        <v>12.674994999999999</v>
      </c>
      <c r="N353">
        <v>-1.9339999999999999</v>
      </c>
      <c r="O353" s="4">
        <v>263.15481999999997</v>
      </c>
      <c r="P353">
        <v>24.420754240846783</v>
      </c>
    </row>
    <row r="354" spans="2:16" x14ac:dyDescent="0.3">
      <c r="B354" t="s">
        <v>15</v>
      </c>
      <c r="C354">
        <f t="shared" si="14"/>
        <v>2021</v>
      </c>
      <c r="D354">
        <v>3.8862552325498223</v>
      </c>
      <c r="E354">
        <v>60647.541636534661</v>
      </c>
      <c r="F354">
        <v>48.82</v>
      </c>
      <c r="G354">
        <v>0.43364882012596184</v>
      </c>
      <c r="H354">
        <v>43.030768693465582</v>
      </c>
      <c r="I354">
        <v>0.20256347570984526</v>
      </c>
      <c r="J354">
        <v>57.9</v>
      </c>
      <c r="K354">
        <v>59.62260187620528</v>
      </c>
      <c r="L354">
        <v>22.7</v>
      </c>
      <c r="M354" s="3">
        <v>12.740326</v>
      </c>
      <c r="N354">
        <v>5.226</v>
      </c>
      <c r="O354" s="4">
        <v>446.02163999999999</v>
      </c>
      <c r="P354">
        <v>25.27160671569062</v>
      </c>
    </row>
    <row r="355" spans="2:16" x14ac:dyDescent="0.3">
      <c r="B355" t="s">
        <v>17</v>
      </c>
      <c r="C355">
        <v>2000</v>
      </c>
      <c r="D355">
        <v>9.3723015458297461</v>
      </c>
      <c r="E355">
        <v>28383.876109499641</v>
      </c>
      <c r="F355">
        <v>10.18</v>
      </c>
      <c r="G355">
        <v>32.434382036179052</v>
      </c>
      <c r="H355">
        <v>2.0632828474364109</v>
      </c>
      <c r="I355">
        <v>2.2399083456873941</v>
      </c>
      <c r="J355">
        <v>1</v>
      </c>
      <c r="K355">
        <v>37.258722888883462</v>
      </c>
      <c r="L355">
        <v>30.8</v>
      </c>
      <c r="M355" s="3">
        <v>10.700332</v>
      </c>
      <c r="N355">
        <v>4.3419999999999996</v>
      </c>
      <c r="O355" s="4">
        <v>179.23068000000001</v>
      </c>
      <c r="P355">
        <v>18.946937748413909</v>
      </c>
    </row>
    <row r="356" spans="2:16" x14ac:dyDescent="0.3">
      <c r="B356" t="s">
        <v>17</v>
      </c>
      <c r="C356">
        <v>2001</v>
      </c>
      <c r="D356">
        <v>9.5250019397096466</v>
      </c>
      <c r="E356">
        <v>28013.872963550777</v>
      </c>
      <c r="F356">
        <v>10.69</v>
      </c>
      <c r="G356">
        <v>34.576871999979211</v>
      </c>
      <c r="H356">
        <v>1.683520059045347</v>
      </c>
      <c r="I356">
        <v>1.3649038823874904</v>
      </c>
      <c r="J356">
        <v>0.8</v>
      </c>
      <c r="K356">
        <v>37.172429454987302</v>
      </c>
      <c r="L356">
        <v>28.9</v>
      </c>
      <c r="M356" s="3">
        <v>10.954275000000001</v>
      </c>
      <c r="N356">
        <v>2.573</v>
      </c>
      <c r="O356" s="4">
        <v>153.74719999999999</v>
      </c>
      <c r="P356">
        <v>18.796271670221511</v>
      </c>
    </row>
    <row r="357" spans="2:16" x14ac:dyDescent="0.3">
      <c r="B357" t="s">
        <v>17</v>
      </c>
      <c r="C357">
        <f>C356+1</f>
        <v>2002</v>
      </c>
      <c r="D357">
        <v>9.2160432123176914</v>
      </c>
      <c r="E357">
        <v>30158.701780785788</v>
      </c>
      <c r="F357">
        <v>10.62</v>
      </c>
      <c r="G357">
        <v>32.455080233236757</v>
      </c>
      <c r="H357">
        <v>1.9210011207346234</v>
      </c>
      <c r="I357">
        <v>1.2392639304214892</v>
      </c>
      <c r="J357">
        <v>1</v>
      </c>
      <c r="K357">
        <v>35.840764745372269</v>
      </c>
      <c r="L357">
        <v>27.3</v>
      </c>
      <c r="M357" s="3">
        <v>11.208218</v>
      </c>
      <c r="N357">
        <v>1.796</v>
      </c>
      <c r="O357" s="4">
        <v>157.39127999999999</v>
      </c>
      <c r="P357">
        <v>18.699179505895469</v>
      </c>
    </row>
    <row r="358" spans="2:16" x14ac:dyDescent="0.3">
      <c r="B358" t="s">
        <v>17</v>
      </c>
      <c r="C358">
        <f t="shared" ref="C358:C376" si="15">C357+1</f>
        <v>2003</v>
      </c>
      <c r="D358">
        <v>9.4008361814931742</v>
      </c>
      <c r="E358">
        <v>34556.772609590509</v>
      </c>
      <c r="F358">
        <v>10.47</v>
      </c>
      <c r="G358">
        <v>35.118709787593104</v>
      </c>
      <c r="H358">
        <v>1.4969939577797979</v>
      </c>
      <c r="I358">
        <v>1.1536974068177137</v>
      </c>
      <c r="J358">
        <v>0.9</v>
      </c>
      <c r="K358">
        <v>34.116753874449309</v>
      </c>
      <c r="L358">
        <v>26.9</v>
      </c>
      <c r="M358" s="3">
        <v>11.462161</v>
      </c>
      <c r="N358">
        <v>3.1520000000000001</v>
      </c>
      <c r="O358" s="4">
        <v>181.33936</v>
      </c>
      <c r="P358">
        <v>18.322347212123226</v>
      </c>
    </row>
    <row r="359" spans="2:16" x14ac:dyDescent="0.3">
      <c r="B359" t="s">
        <v>17</v>
      </c>
      <c r="C359">
        <f t="shared" si="15"/>
        <v>2004</v>
      </c>
      <c r="D359">
        <v>9.3547807678897943</v>
      </c>
      <c r="E359">
        <v>40504.411810392849</v>
      </c>
      <c r="F359">
        <v>9.67</v>
      </c>
      <c r="G359">
        <v>33.830633594549241</v>
      </c>
      <c r="H359">
        <v>1.9018752205357845</v>
      </c>
      <c r="I359">
        <v>1.178898628426079</v>
      </c>
      <c r="J359">
        <v>1.1000000000000001</v>
      </c>
      <c r="K359">
        <v>33.726006104843265</v>
      </c>
      <c r="L359">
        <v>26.9</v>
      </c>
      <c r="M359" s="3">
        <v>11.716104</v>
      </c>
      <c r="N359">
        <v>2.4580000000000002</v>
      </c>
      <c r="O359" s="4">
        <v>240.67920000000001</v>
      </c>
      <c r="P359">
        <v>18.100611614573562</v>
      </c>
    </row>
    <row r="360" spans="2:16" x14ac:dyDescent="0.3">
      <c r="B360" t="s">
        <v>17</v>
      </c>
      <c r="C360">
        <f t="shared" si="15"/>
        <v>2005</v>
      </c>
      <c r="D360">
        <v>9.2634507993101991</v>
      </c>
      <c r="E360">
        <v>42240.246298754661</v>
      </c>
      <c r="F360">
        <v>9.86</v>
      </c>
      <c r="G360">
        <v>34.224663366436054</v>
      </c>
      <c r="H360">
        <v>1.9711012260390202</v>
      </c>
      <c r="I360">
        <v>1.3402584622799707</v>
      </c>
      <c r="J360">
        <v>1.4</v>
      </c>
      <c r="K360">
        <v>35.877976752522187</v>
      </c>
      <c r="L360">
        <v>27.4</v>
      </c>
      <c r="M360" s="3">
        <v>11.970046999999999</v>
      </c>
      <c r="N360">
        <v>2.7330000000000001</v>
      </c>
      <c r="O360" s="4">
        <v>342.92673000000002</v>
      </c>
      <c r="P360">
        <v>18.413268065753119</v>
      </c>
    </row>
    <row r="361" spans="2:16" x14ac:dyDescent="0.3">
      <c r="B361" t="s">
        <v>17</v>
      </c>
      <c r="C361">
        <f t="shared" si="15"/>
        <v>2006</v>
      </c>
      <c r="D361">
        <v>9.2022968496956796</v>
      </c>
      <c r="E361">
        <v>44695.161023423956</v>
      </c>
      <c r="F361">
        <v>9.34</v>
      </c>
      <c r="G361">
        <v>37.8773767751874</v>
      </c>
      <c r="H361">
        <v>2.1259458017227058</v>
      </c>
      <c r="I361">
        <v>1.5540598365896265</v>
      </c>
      <c r="J361">
        <v>1.6</v>
      </c>
      <c r="K361">
        <v>39.323222220718776</v>
      </c>
      <c r="L361">
        <v>27.9</v>
      </c>
      <c r="M361" s="3">
        <v>12.250035</v>
      </c>
      <c r="N361">
        <v>2.3809999999999998</v>
      </c>
      <c r="O361" s="4">
        <v>409.74313000000001</v>
      </c>
      <c r="P361">
        <v>18.909666594500973</v>
      </c>
    </row>
    <row r="362" spans="2:16" x14ac:dyDescent="0.3">
      <c r="B362" t="s">
        <v>17</v>
      </c>
      <c r="C362">
        <f t="shared" si="15"/>
        <v>2007</v>
      </c>
      <c r="D362">
        <v>8.9757908125771131</v>
      </c>
      <c r="E362">
        <v>50629.07991728872</v>
      </c>
      <c r="F362">
        <v>8.2200000000000006</v>
      </c>
      <c r="G362">
        <v>34.647417401449992</v>
      </c>
      <c r="H362">
        <v>2.2518515531878971</v>
      </c>
      <c r="I362">
        <v>1.2723364471850596</v>
      </c>
      <c r="J362">
        <v>1.8</v>
      </c>
      <c r="K362">
        <v>35.152189976471412</v>
      </c>
      <c r="L362">
        <v>26.1</v>
      </c>
      <c r="M362" s="3">
        <v>12.530023999999999</v>
      </c>
      <c r="N362">
        <v>2.625</v>
      </c>
      <c r="O362" s="4">
        <v>455.31279999999998</v>
      </c>
      <c r="P362">
        <v>19.17493325187581</v>
      </c>
    </row>
    <row r="363" spans="2:16" x14ac:dyDescent="0.3">
      <c r="B363" t="s">
        <v>17</v>
      </c>
      <c r="C363">
        <f t="shared" si="15"/>
        <v>2008</v>
      </c>
      <c r="D363">
        <v>8.6383571956539864</v>
      </c>
      <c r="E363">
        <v>47652.403069188105</v>
      </c>
      <c r="F363">
        <v>7.09</v>
      </c>
      <c r="G363">
        <v>32.342178551866546</v>
      </c>
      <c r="H363">
        <v>2.373525546900916</v>
      </c>
      <c r="I363">
        <v>1.7252419170268958</v>
      </c>
      <c r="J363">
        <v>2.4</v>
      </c>
      <c r="K363">
        <v>38.912631684721859</v>
      </c>
      <c r="L363">
        <v>27.2</v>
      </c>
      <c r="M363" s="3">
        <v>12.810012</v>
      </c>
      <c r="N363">
        <v>-0.249</v>
      </c>
      <c r="O363" s="4">
        <v>611.72064</v>
      </c>
      <c r="P363">
        <v>18.288658777181869</v>
      </c>
    </row>
    <row r="364" spans="2:16" x14ac:dyDescent="0.3">
      <c r="B364" t="s">
        <v>17</v>
      </c>
      <c r="C364">
        <f t="shared" si="15"/>
        <v>2009</v>
      </c>
      <c r="D364">
        <v>7.7633069546393827</v>
      </c>
      <c r="E364">
        <v>39009.371554782112</v>
      </c>
      <c r="F364">
        <v>9.86</v>
      </c>
      <c r="G364">
        <v>27.718744194686977</v>
      </c>
      <c r="H364">
        <v>2.365383084313049</v>
      </c>
      <c r="I364">
        <v>1.5909875003317322</v>
      </c>
      <c r="J364">
        <v>3</v>
      </c>
      <c r="K364">
        <v>36.265463699295566</v>
      </c>
      <c r="L364">
        <v>27</v>
      </c>
      <c r="M364" s="3">
        <v>13.09</v>
      </c>
      <c r="N364">
        <v>-4.6210000000000004</v>
      </c>
      <c r="O364" s="4">
        <v>387.89992999999998</v>
      </c>
      <c r="P364">
        <v>15.986610277637944</v>
      </c>
    </row>
    <row r="365" spans="2:16" x14ac:dyDescent="0.3">
      <c r="B365" t="s">
        <v>17</v>
      </c>
      <c r="C365">
        <f t="shared" si="15"/>
        <v>2010</v>
      </c>
      <c r="D365">
        <v>7.9779735531920641</v>
      </c>
      <c r="E365">
        <v>39778.322052856478</v>
      </c>
      <c r="F365">
        <v>8.58</v>
      </c>
      <c r="G365">
        <v>28.40434703100917</v>
      </c>
      <c r="H365">
        <v>1.761017790433397</v>
      </c>
      <c r="I365">
        <v>1.4289819483267587</v>
      </c>
      <c r="J365">
        <v>3.2</v>
      </c>
      <c r="K365">
        <v>40.550987440606754</v>
      </c>
      <c r="L365">
        <v>26</v>
      </c>
      <c r="M365" s="3">
        <v>13.21</v>
      </c>
      <c r="N365">
        <v>2.2330000000000001</v>
      </c>
      <c r="O365" s="4">
        <v>500.01101999999997</v>
      </c>
      <c r="P365">
        <v>16.61811603755077</v>
      </c>
    </row>
    <row r="366" spans="2:16" x14ac:dyDescent="0.3">
      <c r="B366" t="s">
        <v>17</v>
      </c>
      <c r="C366">
        <f t="shared" si="15"/>
        <v>2011</v>
      </c>
      <c r="D366">
        <v>7.2591722797188254</v>
      </c>
      <c r="E366">
        <v>42295.927383532166</v>
      </c>
      <c r="F366">
        <v>10.57</v>
      </c>
      <c r="G366">
        <v>29.744559767144175</v>
      </c>
      <c r="H366">
        <v>2.3364397083323141</v>
      </c>
      <c r="I366">
        <v>0.88815691134465546</v>
      </c>
      <c r="J366">
        <v>4</v>
      </c>
      <c r="K366">
        <v>44.525468580913177</v>
      </c>
      <c r="L366">
        <v>25.5</v>
      </c>
      <c r="M366" s="3">
        <v>13.19</v>
      </c>
      <c r="N366">
        <v>1.1379999999999999</v>
      </c>
      <c r="O366" s="4">
        <v>699.77544999999998</v>
      </c>
      <c r="P366">
        <v>16.491680863741021</v>
      </c>
    </row>
    <row r="367" spans="2:16" x14ac:dyDescent="0.3">
      <c r="B367" t="s">
        <v>17</v>
      </c>
      <c r="C367">
        <f t="shared" si="15"/>
        <v>2012</v>
      </c>
      <c r="D367">
        <v>7.5558349421606943</v>
      </c>
      <c r="E367">
        <v>42688.326372837204</v>
      </c>
      <c r="F367">
        <v>10.71</v>
      </c>
      <c r="G367">
        <v>39.578303159155396</v>
      </c>
      <c r="H367">
        <v>2.2732953718277287</v>
      </c>
      <c r="I367">
        <v>0.89135373146217722</v>
      </c>
      <c r="J367">
        <v>4.2</v>
      </c>
      <c r="K367">
        <v>43.446448699407497</v>
      </c>
      <c r="L367">
        <v>25.3</v>
      </c>
      <c r="M367" s="3">
        <v>13.34</v>
      </c>
      <c r="N367">
        <v>1.5089999999999999</v>
      </c>
      <c r="O367" s="4">
        <v>702.38007000000005</v>
      </c>
      <c r="P367">
        <v>16.514589001154668</v>
      </c>
    </row>
    <row r="368" spans="2:16" x14ac:dyDescent="0.3">
      <c r="B368" t="s">
        <v>17</v>
      </c>
      <c r="C368">
        <f t="shared" si="15"/>
        <v>2013</v>
      </c>
      <c r="D368">
        <v>7.3312602316843103</v>
      </c>
      <c r="E368">
        <v>43606.98378963484</v>
      </c>
      <c r="F368">
        <v>11.29</v>
      </c>
      <c r="G368">
        <v>36.761893594865398</v>
      </c>
      <c r="H368">
        <v>2.1231333595758759</v>
      </c>
      <c r="I368">
        <v>0.62088738878326732</v>
      </c>
      <c r="J368">
        <v>5.2</v>
      </c>
      <c r="K368">
        <v>43.223261399518663</v>
      </c>
      <c r="L368">
        <v>24.9</v>
      </c>
      <c r="M368" s="3">
        <v>12.83</v>
      </c>
      <c r="N368">
        <v>1.8</v>
      </c>
      <c r="O368" s="4">
        <v>683.44029999999998</v>
      </c>
      <c r="P368">
        <v>17.169739395619629</v>
      </c>
    </row>
    <row r="369" spans="2:16" x14ac:dyDescent="0.3">
      <c r="B369" t="s">
        <v>17</v>
      </c>
      <c r="C369">
        <f t="shared" si="15"/>
        <v>2014</v>
      </c>
      <c r="D369">
        <v>6.6644583720210466</v>
      </c>
      <c r="E369">
        <v>47746.242175956228</v>
      </c>
      <c r="F369">
        <v>11.32</v>
      </c>
      <c r="G369">
        <v>30.099226266089847</v>
      </c>
      <c r="H369">
        <v>2.597175708367756</v>
      </c>
      <c r="I369">
        <v>0.56853008323635745</v>
      </c>
      <c r="J369">
        <v>6.6</v>
      </c>
      <c r="K369">
        <v>39.052627660573691</v>
      </c>
      <c r="L369">
        <v>25.2</v>
      </c>
      <c r="M369" s="3">
        <v>12.89</v>
      </c>
      <c r="N369">
        <v>3.1949999999999998</v>
      </c>
      <c r="O369" s="4">
        <v>622.35059999999999</v>
      </c>
      <c r="P369">
        <v>18.432417845558501</v>
      </c>
    </row>
    <row r="370" spans="2:16" x14ac:dyDescent="0.3">
      <c r="B370" t="s">
        <v>17</v>
      </c>
      <c r="C370">
        <f t="shared" si="15"/>
        <v>2015</v>
      </c>
      <c r="D370">
        <v>6.3895756514257629</v>
      </c>
      <c r="E370">
        <v>45255.344921620861</v>
      </c>
      <c r="F370">
        <v>12.74</v>
      </c>
      <c r="G370">
        <v>22.76776073483515</v>
      </c>
      <c r="H370">
        <v>2.6730959811853801</v>
      </c>
      <c r="I370">
        <v>0.63218305796737029</v>
      </c>
      <c r="J370">
        <v>7.7</v>
      </c>
      <c r="K370">
        <v>37.203302603476317</v>
      </c>
      <c r="L370">
        <v>25.3</v>
      </c>
      <c r="M370" s="2">
        <v>12.980000499999999</v>
      </c>
      <c r="N370">
        <v>2.2229999999999999</v>
      </c>
      <c r="O370" s="4">
        <v>329.50225999999998</v>
      </c>
      <c r="P370">
        <v>18.475520950033612</v>
      </c>
    </row>
    <row r="371" spans="2:16" x14ac:dyDescent="0.3">
      <c r="B371" t="s">
        <v>17</v>
      </c>
      <c r="C371">
        <f t="shared" si="15"/>
        <v>2016</v>
      </c>
      <c r="D371">
        <v>5.97285960339598</v>
      </c>
      <c r="E371">
        <v>41257.908554555615</v>
      </c>
      <c r="F371">
        <v>13.15</v>
      </c>
      <c r="G371">
        <v>9.3210890566530065</v>
      </c>
      <c r="H371">
        <v>2.4697105377083792</v>
      </c>
      <c r="I371">
        <v>0.56042176927228204</v>
      </c>
      <c r="J371">
        <v>7.7</v>
      </c>
      <c r="K371">
        <v>38.701937938602825</v>
      </c>
      <c r="L371">
        <v>25.1</v>
      </c>
      <c r="M371" s="2">
        <v>13.07</v>
      </c>
      <c r="N371">
        <v>1.9219999999999999</v>
      </c>
      <c r="O371" s="4">
        <v>275.07916</v>
      </c>
      <c r="P371">
        <v>18.59563886858993</v>
      </c>
    </row>
    <row r="372" spans="2:16" x14ac:dyDescent="0.3">
      <c r="B372" t="s">
        <v>17</v>
      </c>
      <c r="C372">
        <f t="shared" si="15"/>
        <v>2017</v>
      </c>
      <c r="D372">
        <v>5.7713337173695543</v>
      </c>
      <c r="E372">
        <v>40916.811507035374</v>
      </c>
      <c r="F372">
        <v>13.75</v>
      </c>
      <c r="G372">
        <v>6.9004146057392814</v>
      </c>
      <c r="H372">
        <v>2.5940271879417596</v>
      </c>
      <c r="I372">
        <v>0.47891556445948624</v>
      </c>
      <c r="J372">
        <v>8.8000000000000007</v>
      </c>
      <c r="K372">
        <v>40.087126406212022</v>
      </c>
      <c r="L372">
        <v>24.5</v>
      </c>
      <c r="M372" s="2">
        <v>13.16</v>
      </c>
      <c r="N372">
        <v>2.657</v>
      </c>
      <c r="O372" s="4">
        <v>340.85962000000001</v>
      </c>
      <c r="P372">
        <v>19.13173712654168</v>
      </c>
    </row>
    <row r="373" spans="2:16" x14ac:dyDescent="0.3">
      <c r="B373" t="s">
        <v>17</v>
      </c>
      <c r="C373">
        <f t="shared" si="15"/>
        <v>2018</v>
      </c>
      <c r="D373">
        <v>5.6401831374737883</v>
      </c>
      <c r="E373">
        <v>43702.997630316495</v>
      </c>
      <c r="F373">
        <v>13.44</v>
      </c>
      <c r="G373">
        <v>5.3369544621992038</v>
      </c>
      <c r="H373">
        <v>2.3883209571329318</v>
      </c>
      <c r="I373">
        <v>0.50346924596908804</v>
      </c>
      <c r="J373">
        <v>10.199999999999999</v>
      </c>
      <c r="K373">
        <v>40.002685373883637</v>
      </c>
      <c r="L373">
        <v>25.4</v>
      </c>
      <c r="M373" s="2">
        <v>13.243333</v>
      </c>
      <c r="N373">
        <v>1.405</v>
      </c>
      <c r="O373" s="4">
        <v>448.52600000000001</v>
      </c>
      <c r="P373">
        <v>18.876116191178781</v>
      </c>
    </row>
    <row r="374" spans="2:16" x14ac:dyDescent="0.3">
      <c r="B374" t="s">
        <v>17</v>
      </c>
      <c r="C374">
        <f t="shared" si="15"/>
        <v>2019</v>
      </c>
      <c r="D374">
        <v>5.3880791223304465</v>
      </c>
      <c r="E374">
        <v>43158.741126732304</v>
      </c>
      <c r="F374">
        <v>12.97</v>
      </c>
      <c r="G374">
        <v>2.4561598807635336</v>
      </c>
      <c r="H374">
        <v>2.3776171878623709</v>
      </c>
      <c r="I374">
        <v>0.46816392540299512</v>
      </c>
      <c r="J374">
        <v>11.4</v>
      </c>
      <c r="K374">
        <v>40.206904306356513</v>
      </c>
      <c r="L374">
        <v>24.7</v>
      </c>
      <c r="M374" s="2">
        <v>13.326667</v>
      </c>
      <c r="N374">
        <v>1.6240000000000001</v>
      </c>
      <c r="O374" s="4">
        <v>403.87164000000001</v>
      </c>
      <c r="P374">
        <v>19.028514031090641</v>
      </c>
    </row>
    <row r="375" spans="2:16" x14ac:dyDescent="0.3">
      <c r="B375" t="s">
        <v>17</v>
      </c>
      <c r="C375">
        <f t="shared" si="15"/>
        <v>2020</v>
      </c>
      <c r="D375">
        <v>4.7898897279156172</v>
      </c>
      <c r="E375">
        <v>40812.679466387854</v>
      </c>
      <c r="F375">
        <v>13.78</v>
      </c>
      <c r="G375">
        <v>2.1665067333019907</v>
      </c>
      <c r="H375">
        <v>2.7194038886348562</v>
      </c>
      <c r="I375">
        <v>0.45854720395690174</v>
      </c>
      <c r="J375">
        <v>13.6</v>
      </c>
      <c r="K375">
        <v>38.097629838509143</v>
      </c>
      <c r="L375">
        <v>24.6</v>
      </c>
      <c r="M375" s="2">
        <v>13.41</v>
      </c>
      <c r="N375">
        <v>-10.297000000000001</v>
      </c>
      <c r="O375" s="4">
        <v>263.15481999999997</v>
      </c>
      <c r="P375">
        <v>18.280714635340185</v>
      </c>
    </row>
    <row r="376" spans="2:16" x14ac:dyDescent="0.3">
      <c r="B376" t="s">
        <v>17</v>
      </c>
      <c r="C376">
        <f t="shared" si="15"/>
        <v>2021</v>
      </c>
      <c r="D376">
        <v>5.044709184282814</v>
      </c>
      <c r="E376">
        <v>47691.376879940392</v>
      </c>
      <c r="F376">
        <v>12.03</v>
      </c>
      <c r="G376">
        <v>2.5052083839591495</v>
      </c>
      <c r="H376">
        <v>2.3688021850912238</v>
      </c>
      <c r="I376">
        <v>0.62792212210460829</v>
      </c>
      <c r="J376">
        <v>12.2</v>
      </c>
      <c r="K376">
        <v>36.539063168601238</v>
      </c>
      <c r="L376">
        <v>24.6</v>
      </c>
      <c r="M376" s="3">
        <v>13.49</v>
      </c>
      <c r="N376">
        <v>8.5760000000000005</v>
      </c>
      <c r="O376" s="4">
        <v>446.02163999999999</v>
      </c>
      <c r="P376">
        <v>18.898741610882734</v>
      </c>
    </row>
    <row r="377" spans="2:16" x14ac:dyDescent="0.3">
      <c r="B377" t="s">
        <v>16</v>
      </c>
      <c r="C377">
        <v>2000</v>
      </c>
      <c r="D377">
        <v>21.011875320274324</v>
      </c>
      <c r="E377">
        <v>36329.956072710193</v>
      </c>
      <c r="F377">
        <v>10.77</v>
      </c>
      <c r="G377">
        <v>52.545595283303555</v>
      </c>
      <c r="H377">
        <v>6.9086850708434717</v>
      </c>
      <c r="I377">
        <v>2.9235562655406921</v>
      </c>
      <c r="J377">
        <v>5.4</v>
      </c>
      <c r="K377">
        <v>19.912480295455349</v>
      </c>
      <c r="L377">
        <v>29.8</v>
      </c>
      <c r="M377" s="3">
        <v>12.96</v>
      </c>
      <c r="N377">
        <v>4.0780000000000003</v>
      </c>
      <c r="O377" s="4">
        <v>179.23068000000001</v>
      </c>
      <c r="P377">
        <v>23.678375899578764</v>
      </c>
    </row>
    <row r="378" spans="2:16" x14ac:dyDescent="0.3">
      <c r="B378" t="s">
        <v>16</v>
      </c>
      <c r="C378">
        <v>2001</v>
      </c>
      <c r="D378">
        <v>20.625507785576151</v>
      </c>
      <c r="E378">
        <v>37133.623113437039</v>
      </c>
      <c r="F378">
        <v>10.66</v>
      </c>
      <c r="G378">
        <v>51.279756045250735</v>
      </c>
      <c r="H378">
        <v>5.5552637862917491</v>
      </c>
      <c r="I378">
        <v>3.3517906857074999</v>
      </c>
      <c r="J378">
        <v>4.7</v>
      </c>
      <c r="K378">
        <v>18.03338370935592</v>
      </c>
      <c r="L378">
        <v>30.2</v>
      </c>
      <c r="M378" s="3">
        <v>12.925000000000001</v>
      </c>
      <c r="N378">
        <v>0.95599999999999996</v>
      </c>
      <c r="O378" s="4">
        <v>153.74719999999999</v>
      </c>
      <c r="P378">
        <v>22.176720599355587</v>
      </c>
    </row>
    <row r="379" spans="2:16" x14ac:dyDescent="0.3">
      <c r="B379" t="s">
        <v>16</v>
      </c>
      <c r="C379">
        <f>C378+1</f>
        <v>2002</v>
      </c>
      <c r="D379">
        <v>19.910379338711127</v>
      </c>
      <c r="E379">
        <v>37997.759657305127</v>
      </c>
      <c r="F379">
        <v>10.79</v>
      </c>
      <c r="G379">
        <v>50.348175319417841</v>
      </c>
      <c r="H379">
        <v>7.2018355417761013</v>
      </c>
      <c r="I379">
        <v>2.6199668239894152</v>
      </c>
      <c r="J379">
        <v>4.8</v>
      </c>
      <c r="K379">
        <v>17.323757269191844</v>
      </c>
      <c r="L379">
        <v>29.7</v>
      </c>
      <c r="M379" s="3">
        <v>12.889999</v>
      </c>
      <c r="N379">
        <v>1.7</v>
      </c>
      <c r="O379" s="4">
        <v>157.39127999999999</v>
      </c>
      <c r="P379">
        <v>21.72265040882268</v>
      </c>
    </row>
    <row r="380" spans="2:16" x14ac:dyDescent="0.3">
      <c r="B380" t="s">
        <v>16</v>
      </c>
      <c r="C380">
        <f t="shared" ref="C380:C398" si="16">C379+1</f>
        <v>2003</v>
      </c>
      <c r="D380">
        <v>19.968165779182605</v>
      </c>
      <c r="E380">
        <v>39490.274955700712</v>
      </c>
      <c r="F380">
        <v>10.62</v>
      </c>
      <c r="G380">
        <v>51.039844537802772</v>
      </c>
      <c r="H380">
        <v>7.4899969718974448</v>
      </c>
      <c r="I380">
        <v>3.3567594794799502</v>
      </c>
      <c r="J380">
        <v>5.3</v>
      </c>
      <c r="K380">
        <v>17.700268484254448</v>
      </c>
      <c r="L380">
        <v>29.8</v>
      </c>
      <c r="M380" s="3">
        <v>12.855</v>
      </c>
      <c r="N380">
        <v>2.7959999999999998</v>
      </c>
      <c r="O380" s="4">
        <v>181.33936</v>
      </c>
      <c r="P380">
        <v>21.745643115762174</v>
      </c>
    </row>
    <row r="381" spans="2:16" x14ac:dyDescent="0.3">
      <c r="B381" t="s">
        <v>16</v>
      </c>
      <c r="C381">
        <f t="shared" si="16"/>
        <v>2004</v>
      </c>
      <c r="D381">
        <v>20.081559794727486</v>
      </c>
      <c r="E381">
        <v>41724.631628762399</v>
      </c>
      <c r="F381">
        <v>10.69</v>
      </c>
      <c r="G381">
        <v>50.07346361167906</v>
      </c>
      <c r="H381">
        <v>7.1354317370467397</v>
      </c>
      <c r="I381">
        <v>3.3315879637525221</v>
      </c>
      <c r="J381">
        <v>5.5</v>
      </c>
      <c r="K381">
        <v>19.157878262767898</v>
      </c>
      <c r="L381">
        <v>29.9</v>
      </c>
      <c r="M381" s="3">
        <v>12.82</v>
      </c>
      <c r="N381">
        <v>3.8479999999999999</v>
      </c>
      <c r="O381" s="4">
        <v>240.67920000000001</v>
      </c>
      <c r="P381">
        <v>22.652150581142017</v>
      </c>
    </row>
    <row r="382" spans="2:16" x14ac:dyDescent="0.3">
      <c r="B382" t="s">
        <v>16</v>
      </c>
      <c r="C382">
        <f t="shared" si="16"/>
        <v>2005</v>
      </c>
      <c r="D382">
        <v>19.924991421547862</v>
      </c>
      <c r="E382">
        <v>44123.407067905515</v>
      </c>
      <c r="F382">
        <v>10.62</v>
      </c>
      <c r="G382">
        <v>50.157694915759436</v>
      </c>
      <c r="H382">
        <v>6.9375982682434296</v>
      </c>
      <c r="I382">
        <v>3.2901232498006694</v>
      </c>
      <c r="J382">
        <v>5.8</v>
      </c>
      <c r="K382">
        <v>20.199001188768786</v>
      </c>
      <c r="L382">
        <v>30.5</v>
      </c>
      <c r="M382" s="3">
        <v>12.83</v>
      </c>
      <c r="N382">
        <v>3.4830000000000001</v>
      </c>
      <c r="O382" s="4">
        <v>342.92673000000002</v>
      </c>
      <c r="P382">
        <v>23.375714680670729</v>
      </c>
    </row>
    <row r="383" spans="2:16" x14ac:dyDescent="0.3">
      <c r="B383" t="s">
        <v>16</v>
      </c>
      <c r="C383">
        <f t="shared" si="16"/>
        <v>2006</v>
      </c>
      <c r="D383">
        <v>19.404817707701451</v>
      </c>
      <c r="E383">
        <v>46302.000880005624</v>
      </c>
      <c r="F383">
        <v>10.9</v>
      </c>
      <c r="G383">
        <v>49.474066755936235</v>
      </c>
      <c r="H383">
        <v>7.386688758521319</v>
      </c>
      <c r="I383">
        <v>1.8280420690792081</v>
      </c>
      <c r="J383">
        <v>6.4</v>
      </c>
      <c r="K383">
        <v>21.30958323436408</v>
      </c>
      <c r="L383">
        <v>30.9</v>
      </c>
      <c r="M383" s="3">
        <v>12.91</v>
      </c>
      <c r="N383">
        <v>2.7850000000000001</v>
      </c>
      <c r="O383" s="4">
        <v>409.74313000000001</v>
      </c>
      <c r="P383">
        <v>23.537523322313501</v>
      </c>
    </row>
    <row r="384" spans="2:16" x14ac:dyDescent="0.3">
      <c r="B384" t="s">
        <v>16</v>
      </c>
      <c r="C384">
        <f t="shared" si="16"/>
        <v>2007</v>
      </c>
      <c r="D384">
        <v>19.495660686975238</v>
      </c>
      <c r="E384">
        <v>48050.223777113504</v>
      </c>
      <c r="F384">
        <v>10.82</v>
      </c>
      <c r="G384">
        <v>48.701895080762725</v>
      </c>
      <c r="H384">
        <v>6.3345993566201617</v>
      </c>
      <c r="I384">
        <v>1.7962955427566203</v>
      </c>
      <c r="J384">
        <v>6.3</v>
      </c>
      <c r="K384">
        <v>21.891338451419696</v>
      </c>
      <c r="L384">
        <v>30.1</v>
      </c>
      <c r="M384" s="3">
        <v>12.95</v>
      </c>
      <c r="N384">
        <v>2.004</v>
      </c>
      <c r="O384" s="4">
        <v>455.31279999999998</v>
      </c>
      <c r="P384">
        <v>22.557577834240814</v>
      </c>
    </row>
    <row r="385" spans="2:16" x14ac:dyDescent="0.3">
      <c r="B385" t="s">
        <v>16</v>
      </c>
      <c r="C385">
        <f t="shared" si="16"/>
        <v>2008</v>
      </c>
      <c r="D385">
        <v>18.708902629130101</v>
      </c>
      <c r="E385">
        <v>48570.045980458555</v>
      </c>
      <c r="F385">
        <v>11.2</v>
      </c>
      <c r="G385">
        <v>48.820251354028528</v>
      </c>
      <c r="H385">
        <v>6.4555437507053721</v>
      </c>
      <c r="I385">
        <v>1.3226315918394069</v>
      </c>
      <c r="J385">
        <v>6.8</v>
      </c>
      <c r="K385">
        <v>23.405296251532775</v>
      </c>
      <c r="L385">
        <v>30</v>
      </c>
      <c r="M385" s="3">
        <v>12.99</v>
      </c>
      <c r="N385">
        <v>0.114</v>
      </c>
      <c r="O385" s="4">
        <v>611.72064</v>
      </c>
      <c r="P385">
        <v>21.037494190691405</v>
      </c>
    </row>
    <row r="386" spans="2:16" x14ac:dyDescent="0.3">
      <c r="B386" t="s">
        <v>16</v>
      </c>
      <c r="C386">
        <f t="shared" si="16"/>
        <v>2009</v>
      </c>
      <c r="D386">
        <v>17.189063200190265</v>
      </c>
      <c r="E386">
        <v>47194.94335473355</v>
      </c>
      <c r="F386">
        <v>11.84</v>
      </c>
      <c r="G386">
        <v>45.190158575908832</v>
      </c>
      <c r="H386">
        <v>7.12499238935919</v>
      </c>
      <c r="I386">
        <v>1.2044510608934833</v>
      </c>
      <c r="J386">
        <v>7.3</v>
      </c>
      <c r="K386">
        <v>18.381869484161271</v>
      </c>
      <c r="L386">
        <v>30.1</v>
      </c>
      <c r="M386" s="3">
        <v>13.01</v>
      </c>
      <c r="N386">
        <v>-2.5760000000000001</v>
      </c>
      <c r="O386" s="4">
        <v>387.89992999999998</v>
      </c>
      <c r="P386">
        <v>17.768755781434734</v>
      </c>
    </row>
    <row r="387" spans="2:16" x14ac:dyDescent="0.3">
      <c r="B387" t="s">
        <v>16</v>
      </c>
      <c r="C387">
        <f t="shared" si="16"/>
        <v>2010</v>
      </c>
      <c r="D387">
        <v>17.847084306937994</v>
      </c>
      <c r="E387">
        <v>48642.61001793122</v>
      </c>
      <c r="F387">
        <v>11.74</v>
      </c>
      <c r="G387">
        <v>45.545869181418915</v>
      </c>
      <c r="H387">
        <v>6.5396272179753927</v>
      </c>
      <c r="I387">
        <v>1.0982475453530145</v>
      </c>
      <c r="J387">
        <v>7.4</v>
      </c>
      <c r="K387">
        <v>21.580747380228178</v>
      </c>
      <c r="L387">
        <v>29</v>
      </c>
      <c r="M387" s="3">
        <v>13.05</v>
      </c>
      <c r="N387">
        <v>2.6949999999999998</v>
      </c>
      <c r="O387" s="4">
        <v>500.01101999999997</v>
      </c>
      <c r="P387">
        <v>18.672221669846081</v>
      </c>
    </row>
    <row r="388" spans="2:16" x14ac:dyDescent="0.3">
      <c r="B388" t="s">
        <v>16</v>
      </c>
      <c r="C388">
        <f t="shared" si="16"/>
        <v>2011</v>
      </c>
      <c r="D388">
        <v>17.020388898119599</v>
      </c>
      <c r="E388">
        <v>50024.868799398035</v>
      </c>
      <c r="F388">
        <v>12.04</v>
      </c>
      <c r="G388">
        <v>43.118265404257947</v>
      </c>
      <c r="H388">
        <v>7.9219204761599302</v>
      </c>
      <c r="I388">
        <v>0.90870987981734752</v>
      </c>
      <c r="J388">
        <v>8.4</v>
      </c>
      <c r="K388">
        <v>24.029470067963697</v>
      </c>
      <c r="L388">
        <v>29.9</v>
      </c>
      <c r="M388" s="3">
        <v>13.1</v>
      </c>
      <c r="N388">
        <v>1.5640000000000001</v>
      </c>
      <c r="O388" s="4">
        <v>699.77544999999998</v>
      </c>
      <c r="P388">
        <v>19.03354325529741</v>
      </c>
    </row>
    <row r="389" spans="2:16" x14ac:dyDescent="0.3">
      <c r="B389" t="s">
        <v>16</v>
      </c>
      <c r="C389">
        <f t="shared" si="16"/>
        <v>2012</v>
      </c>
      <c r="D389">
        <v>16.185422100481368</v>
      </c>
      <c r="E389">
        <v>51708.401155657702</v>
      </c>
      <c r="F389">
        <v>11.97</v>
      </c>
      <c r="G389">
        <v>38.302498916250649</v>
      </c>
      <c r="H389">
        <v>6.9520073834794651</v>
      </c>
      <c r="I389">
        <v>0.77074389487864337</v>
      </c>
      <c r="J389">
        <v>8.5</v>
      </c>
      <c r="K389">
        <v>23.88478917685465</v>
      </c>
      <c r="L389">
        <v>29.9</v>
      </c>
      <c r="M389" s="3">
        <v>13.14</v>
      </c>
      <c r="N389">
        <v>2.2890000000000001</v>
      </c>
      <c r="O389" s="4">
        <v>702.38007000000005</v>
      </c>
      <c r="P389">
        <v>19.950723147014997</v>
      </c>
    </row>
    <row r="390" spans="2:16" x14ac:dyDescent="0.3">
      <c r="B390" t="s">
        <v>16</v>
      </c>
      <c r="C390">
        <f t="shared" si="16"/>
        <v>2013</v>
      </c>
      <c r="D390">
        <v>16.49597522191101</v>
      </c>
      <c r="E390">
        <v>53179.012763456114</v>
      </c>
      <c r="F390">
        <v>12.12</v>
      </c>
      <c r="G390">
        <v>39.764525629584632</v>
      </c>
      <c r="H390">
        <v>6.7368324744895416</v>
      </c>
      <c r="I390">
        <v>0.85589467326433333</v>
      </c>
      <c r="J390">
        <v>8.9</v>
      </c>
      <c r="K390">
        <v>23.206131199393447</v>
      </c>
      <c r="L390">
        <v>29.7</v>
      </c>
      <c r="M390" s="3">
        <v>13.2</v>
      </c>
      <c r="N390">
        <v>2.1179999999999999</v>
      </c>
      <c r="O390" s="4">
        <v>683.44029999999998</v>
      </c>
      <c r="P390">
        <v>20.424627384619246</v>
      </c>
    </row>
    <row r="391" spans="2:16" x14ac:dyDescent="0.3">
      <c r="B391" t="s">
        <v>16</v>
      </c>
      <c r="C391">
        <f t="shared" si="16"/>
        <v>2014</v>
      </c>
      <c r="D391">
        <v>16.424895310231651</v>
      </c>
      <c r="E391">
        <v>54973.420751571233</v>
      </c>
      <c r="F391">
        <v>12.16</v>
      </c>
      <c r="G391">
        <v>39.456926608347537</v>
      </c>
      <c r="H391">
        <v>6.486242765883377</v>
      </c>
      <c r="I391">
        <v>0.9187463467984649</v>
      </c>
      <c r="J391">
        <v>9</v>
      </c>
      <c r="K391">
        <v>22.979616516371262</v>
      </c>
      <c r="L391">
        <v>30.3</v>
      </c>
      <c r="M391" s="3">
        <v>13.22</v>
      </c>
      <c r="N391">
        <v>2.524</v>
      </c>
      <c r="O391" s="4">
        <v>622.35059999999999</v>
      </c>
      <c r="P391">
        <v>20.969620342418992</v>
      </c>
    </row>
    <row r="392" spans="2:16" x14ac:dyDescent="0.3">
      <c r="B392" t="s">
        <v>16</v>
      </c>
      <c r="C392">
        <f t="shared" si="16"/>
        <v>2015</v>
      </c>
      <c r="D392">
        <v>15.950102294913606</v>
      </c>
      <c r="E392">
        <v>56572.918899606339</v>
      </c>
      <c r="F392">
        <v>12.32</v>
      </c>
      <c r="G392">
        <v>34.073264385212596</v>
      </c>
      <c r="H392">
        <v>6.280264405364731</v>
      </c>
      <c r="I392">
        <v>0.89959623910076048</v>
      </c>
      <c r="J392">
        <v>8.9</v>
      </c>
      <c r="K392">
        <v>20.970386963265078</v>
      </c>
      <c r="L392">
        <v>30.2</v>
      </c>
      <c r="M392" s="3">
        <v>13.25</v>
      </c>
      <c r="N392">
        <v>2.9460000000000002</v>
      </c>
      <c r="O392" s="4">
        <v>329.50225999999998</v>
      </c>
      <c r="P392">
        <v>21.519875516657251</v>
      </c>
    </row>
    <row r="393" spans="2:16" x14ac:dyDescent="0.3">
      <c r="B393" t="s">
        <v>16</v>
      </c>
      <c r="C393">
        <f t="shared" si="16"/>
        <v>2016</v>
      </c>
      <c r="D393">
        <v>15.50454821892693</v>
      </c>
      <c r="E393">
        <v>57638.101836719179</v>
      </c>
      <c r="F393">
        <v>12.85</v>
      </c>
      <c r="G393">
        <v>31.328600072465811</v>
      </c>
      <c r="H393">
        <v>6.7586865270504335</v>
      </c>
      <c r="I393">
        <v>0.80422707990998687</v>
      </c>
      <c r="J393">
        <v>9.3000000000000007</v>
      </c>
      <c r="K393">
        <v>19.797502305710051</v>
      </c>
      <c r="L393">
        <v>30.1</v>
      </c>
      <c r="M393" s="3">
        <v>13.34</v>
      </c>
      <c r="N393">
        <v>1.82</v>
      </c>
      <c r="O393" s="4">
        <v>275.07916</v>
      </c>
      <c r="P393">
        <v>21.010637664557365</v>
      </c>
    </row>
    <row r="394" spans="2:16" x14ac:dyDescent="0.3">
      <c r="B394" t="s">
        <v>16</v>
      </c>
      <c r="C394">
        <f t="shared" si="16"/>
        <v>2017</v>
      </c>
      <c r="D394">
        <v>15.18471272139676</v>
      </c>
      <c r="E394">
        <v>59635.098439796486</v>
      </c>
      <c r="F394">
        <v>13.21</v>
      </c>
      <c r="G394">
        <v>30.827999443825956</v>
      </c>
      <c r="H394">
        <v>7.5847302229268747</v>
      </c>
      <c r="I394">
        <v>0.75613074569315053</v>
      </c>
      <c r="J394">
        <v>9.6999999999999993</v>
      </c>
      <c r="K394">
        <v>20.304362406281076</v>
      </c>
      <c r="L394">
        <v>29.9</v>
      </c>
      <c r="M394" s="3">
        <v>13.41329</v>
      </c>
      <c r="N394">
        <v>2.4580000000000002</v>
      </c>
      <c r="O394" s="4">
        <v>340.85962000000001</v>
      </c>
      <c r="P394">
        <v>21.302147701570735</v>
      </c>
    </row>
    <row r="395" spans="2:16" x14ac:dyDescent="0.3">
      <c r="B395" t="s">
        <v>16</v>
      </c>
      <c r="C395">
        <f t="shared" si="16"/>
        <v>2018</v>
      </c>
      <c r="D395">
        <v>15.579645664597194</v>
      </c>
      <c r="E395">
        <v>62499.874439006751</v>
      </c>
      <c r="F395">
        <v>13.04</v>
      </c>
      <c r="G395">
        <v>28.552748349320538</v>
      </c>
      <c r="H395">
        <v>7.1149907147176101</v>
      </c>
      <c r="I395">
        <v>0.96347429814981156</v>
      </c>
      <c r="J395">
        <v>9.9</v>
      </c>
      <c r="K395">
        <v>20.835684306494962</v>
      </c>
      <c r="L395">
        <v>30.6</v>
      </c>
      <c r="M395" s="3">
        <v>13.5</v>
      </c>
      <c r="N395">
        <v>2.9670000000000001</v>
      </c>
      <c r="O395" s="4">
        <v>448.52600000000001</v>
      </c>
      <c r="P395">
        <v>21.698760843550311</v>
      </c>
    </row>
    <row r="396" spans="2:16" x14ac:dyDescent="0.3">
      <c r="B396" t="s">
        <v>16</v>
      </c>
      <c r="C396">
        <f t="shared" si="16"/>
        <v>2019</v>
      </c>
      <c r="D396">
        <v>15.043966208050458</v>
      </c>
      <c r="E396">
        <v>64746.450677886343</v>
      </c>
      <c r="F396">
        <v>13.14</v>
      </c>
      <c r="G396">
        <v>24.353038417399858</v>
      </c>
      <c r="H396">
        <v>7.0716523671603175</v>
      </c>
      <c r="I396">
        <v>0.81493524236297066</v>
      </c>
      <c r="J396">
        <v>10.199999999999999</v>
      </c>
      <c r="K396">
        <v>19.693235596752224</v>
      </c>
      <c r="L396">
        <v>30.6</v>
      </c>
      <c r="M396" s="3">
        <v>13.59</v>
      </c>
      <c r="N396">
        <v>2.5840000000000001</v>
      </c>
      <c r="O396" s="4">
        <v>403.87164000000001</v>
      </c>
      <c r="P396">
        <v>21.830963067453769</v>
      </c>
    </row>
    <row r="397" spans="2:16" x14ac:dyDescent="0.3">
      <c r="B397" t="s">
        <v>16</v>
      </c>
      <c r="C397">
        <f t="shared" si="16"/>
        <v>2020</v>
      </c>
      <c r="D397">
        <v>13.471582167824787</v>
      </c>
      <c r="E397">
        <v>63515.949180783318</v>
      </c>
      <c r="F397">
        <v>14.3</v>
      </c>
      <c r="G397">
        <v>20.088294883408452</v>
      </c>
      <c r="H397">
        <v>7.2349504453358806</v>
      </c>
      <c r="I397">
        <v>0.87816015002665471</v>
      </c>
      <c r="J397">
        <v>11</v>
      </c>
      <c r="K397">
        <v>18.194590826460345</v>
      </c>
      <c r="L397">
        <v>29.3</v>
      </c>
      <c r="M397" s="3">
        <v>13.68</v>
      </c>
      <c r="N397">
        <v>-2.081</v>
      </c>
      <c r="O397" s="4">
        <v>263.15481999999997</v>
      </c>
      <c r="P397">
        <v>21.717446074796403</v>
      </c>
    </row>
    <row r="398" spans="2:16" x14ac:dyDescent="0.3">
      <c r="B398" t="s">
        <v>16</v>
      </c>
      <c r="C398">
        <f t="shared" si="16"/>
        <v>2021</v>
      </c>
      <c r="D398">
        <v>14.316115434711545</v>
      </c>
      <c r="E398">
        <v>70205.050916025953</v>
      </c>
      <c r="F398">
        <v>13.64</v>
      </c>
      <c r="G398">
        <v>22.665907143751905</v>
      </c>
      <c r="H398">
        <v>6.2655154347430537</v>
      </c>
      <c r="I398">
        <v>0.82577544028403471</v>
      </c>
      <c r="J398">
        <v>10.9</v>
      </c>
      <c r="K398">
        <v>20.114080189135748</v>
      </c>
      <c r="L398">
        <v>29.7</v>
      </c>
      <c r="M398" s="3">
        <v>13.5755</v>
      </c>
      <c r="N398">
        <v>6.1520000000000001</v>
      </c>
      <c r="O398" s="4">
        <v>446.02163999999999</v>
      </c>
      <c r="P398">
        <v>21.668250242580335</v>
      </c>
    </row>
    <row r="399" spans="2:16" x14ac:dyDescent="0.3">
      <c r="B399" t="s">
        <v>18</v>
      </c>
      <c r="C399">
        <v>2000</v>
      </c>
      <c r="D399">
        <v>1.705526228290561</v>
      </c>
      <c r="E399">
        <v>6987.7009876625725</v>
      </c>
      <c r="F399">
        <v>19.57</v>
      </c>
      <c r="G399">
        <v>0</v>
      </c>
      <c r="H399">
        <v>92.923036373220882</v>
      </c>
      <c r="I399">
        <v>6.6157090142329995</v>
      </c>
      <c r="J399">
        <v>38.700000000000003</v>
      </c>
      <c r="K399">
        <v>25.24178075628819</v>
      </c>
      <c r="L399">
        <v>32.5</v>
      </c>
      <c r="M399" s="2">
        <v>8.3157139999999998</v>
      </c>
      <c r="N399">
        <v>-1.93</v>
      </c>
      <c r="O399" s="4">
        <v>179.23068000000001</v>
      </c>
      <c r="P399">
        <v>14.457020901091219</v>
      </c>
    </row>
    <row r="400" spans="2:16" x14ac:dyDescent="0.3">
      <c r="B400" t="s">
        <v>18</v>
      </c>
      <c r="C400">
        <v>2001</v>
      </c>
      <c r="D400">
        <v>1.5324115347296221</v>
      </c>
      <c r="E400">
        <v>6382.7610474085877</v>
      </c>
      <c r="F400">
        <v>29.02</v>
      </c>
      <c r="G400">
        <v>0</v>
      </c>
      <c r="H400">
        <v>99.394594594594594</v>
      </c>
      <c r="I400">
        <v>0.20540540540540542</v>
      </c>
      <c r="J400">
        <v>41.6</v>
      </c>
      <c r="K400">
        <v>24.503844118428869</v>
      </c>
      <c r="L400">
        <v>33.700000000000003</v>
      </c>
      <c r="M400" s="2">
        <v>8.5271430000000006</v>
      </c>
      <c r="N400">
        <v>-3.8439999999999999</v>
      </c>
      <c r="O400" s="4">
        <v>153.74719999999999</v>
      </c>
      <c r="P400">
        <v>14.327939786834628</v>
      </c>
    </row>
    <row r="401" spans="2:16" x14ac:dyDescent="0.3">
      <c r="B401" t="s">
        <v>18</v>
      </c>
      <c r="C401">
        <f>C400+1</f>
        <v>2002</v>
      </c>
      <c r="D401">
        <v>1.4054854923972213</v>
      </c>
      <c r="E401">
        <v>4149.7614031268686</v>
      </c>
      <c r="F401">
        <v>32.39</v>
      </c>
      <c r="G401">
        <v>0</v>
      </c>
      <c r="H401">
        <v>99.271212909942747</v>
      </c>
      <c r="I401">
        <v>0.32274856845393024</v>
      </c>
      <c r="J401">
        <v>43.2</v>
      </c>
      <c r="K401">
        <v>28.111531842429144</v>
      </c>
      <c r="L401">
        <v>34.200000000000003</v>
      </c>
      <c r="M401" s="2">
        <v>8.7385710000000003</v>
      </c>
      <c r="N401">
        <v>-7.7320000000000002</v>
      </c>
      <c r="O401" s="4">
        <v>157.39127999999999</v>
      </c>
      <c r="P401">
        <v>13.072905952149124</v>
      </c>
    </row>
    <row r="402" spans="2:16" x14ac:dyDescent="0.3">
      <c r="B402" t="s">
        <v>18</v>
      </c>
      <c r="C402">
        <f t="shared" ref="C402:C420" si="17">C401+1</f>
        <v>2003</v>
      </c>
      <c r="D402">
        <v>1.4004692205806071</v>
      </c>
      <c r="E402">
        <v>3671.1232925688273</v>
      </c>
      <c r="F402">
        <v>28.84</v>
      </c>
      <c r="G402">
        <v>0</v>
      </c>
      <c r="H402">
        <v>99.428837859890422</v>
      </c>
      <c r="I402">
        <v>0.12822007226949528</v>
      </c>
      <c r="J402">
        <v>43.8</v>
      </c>
      <c r="K402">
        <v>36.494537454916873</v>
      </c>
      <c r="L402">
        <v>34.299999999999997</v>
      </c>
      <c r="M402" s="2">
        <v>8.9499999999999993</v>
      </c>
      <c r="N402">
        <v>0.80500000000000005</v>
      </c>
      <c r="O402" s="4">
        <v>181.33936</v>
      </c>
      <c r="P402">
        <v>15.206308850127886</v>
      </c>
    </row>
    <row r="403" spans="2:16" x14ac:dyDescent="0.3">
      <c r="B403" t="s">
        <v>18</v>
      </c>
      <c r="C403">
        <f t="shared" si="17"/>
        <v>2004</v>
      </c>
      <c r="D403">
        <v>1.7528908230759017</v>
      </c>
      <c r="E403">
        <v>4168.6606543838652</v>
      </c>
      <c r="F403">
        <v>14.15</v>
      </c>
      <c r="G403">
        <v>0</v>
      </c>
      <c r="H403">
        <v>81.033898305084747</v>
      </c>
      <c r="I403">
        <v>18.322033898305083</v>
      </c>
      <c r="J403">
        <v>39.299999999999997</v>
      </c>
      <c r="K403">
        <v>44.168159386280912</v>
      </c>
      <c r="L403">
        <v>34.700000000000003</v>
      </c>
      <c r="M403" s="2">
        <v>8.6333330000000004</v>
      </c>
      <c r="N403">
        <v>5.0039999999999996</v>
      </c>
      <c r="O403" s="4">
        <v>240.67920000000001</v>
      </c>
      <c r="P403">
        <v>17.468462801396953</v>
      </c>
    </row>
    <row r="404" spans="2:16" x14ac:dyDescent="0.3">
      <c r="B404" t="s">
        <v>18</v>
      </c>
      <c r="C404">
        <f t="shared" si="17"/>
        <v>2005</v>
      </c>
      <c r="D404">
        <v>1.6945185772228193</v>
      </c>
      <c r="E404">
        <v>5284.2567798712898</v>
      </c>
      <c r="F404">
        <v>19.079999999999998</v>
      </c>
      <c r="G404">
        <v>0</v>
      </c>
      <c r="H404">
        <v>86.997266692698162</v>
      </c>
      <c r="I404">
        <v>12.45607184693479</v>
      </c>
      <c r="J404">
        <v>41.3</v>
      </c>
      <c r="K404">
        <v>42.049529708402325</v>
      </c>
      <c r="L404">
        <v>33.6</v>
      </c>
      <c r="M404" s="2">
        <v>8.3166670000000007</v>
      </c>
      <c r="N404">
        <v>7.46</v>
      </c>
      <c r="O404" s="4">
        <v>342.92673000000002</v>
      </c>
      <c r="P404">
        <v>17.698858163987541</v>
      </c>
    </row>
    <row r="405" spans="2:16" x14ac:dyDescent="0.3">
      <c r="B405" t="s">
        <v>18</v>
      </c>
      <c r="C405">
        <f t="shared" si="17"/>
        <v>2006</v>
      </c>
      <c r="D405">
        <v>1.9724846223110704</v>
      </c>
      <c r="E405">
        <v>6001.332947831721</v>
      </c>
      <c r="F405">
        <v>9.35</v>
      </c>
      <c r="G405">
        <v>0</v>
      </c>
      <c r="H405">
        <v>63.667385057471257</v>
      </c>
      <c r="I405">
        <v>35.380747126436781</v>
      </c>
      <c r="J405">
        <v>37.6</v>
      </c>
      <c r="K405">
        <v>44.550998207684962</v>
      </c>
      <c r="L405">
        <v>35</v>
      </c>
      <c r="M405" s="2">
        <v>8</v>
      </c>
      <c r="N405">
        <v>4.0990000000000002</v>
      </c>
      <c r="O405" s="4">
        <v>409.74313000000001</v>
      </c>
      <c r="P405">
        <v>19.460573429621828</v>
      </c>
    </row>
    <row r="406" spans="2:16" x14ac:dyDescent="0.3">
      <c r="B406" t="s">
        <v>18</v>
      </c>
      <c r="C406">
        <f t="shared" si="17"/>
        <v>2007</v>
      </c>
      <c r="D406">
        <v>1.8565450526879936</v>
      </c>
      <c r="E406">
        <v>7222.0540364587714</v>
      </c>
      <c r="F406">
        <v>21.23</v>
      </c>
      <c r="G406">
        <v>0</v>
      </c>
      <c r="H406">
        <v>85.52996374493496</v>
      </c>
      <c r="I406">
        <v>12.987843889955213</v>
      </c>
      <c r="J406">
        <v>43.2</v>
      </c>
      <c r="K406">
        <v>42.634241404006886</v>
      </c>
      <c r="L406">
        <v>35.4</v>
      </c>
      <c r="M406" s="2">
        <v>8.1850000000000005</v>
      </c>
      <c r="N406">
        <v>6.5419999999999998</v>
      </c>
      <c r="O406" s="4">
        <v>455.31279999999998</v>
      </c>
      <c r="P406">
        <v>19.526055284370571</v>
      </c>
    </row>
    <row r="407" spans="2:16" x14ac:dyDescent="0.3">
      <c r="B407" t="s">
        <v>18</v>
      </c>
      <c r="C407">
        <f t="shared" si="17"/>
        <v>2008</v>
      </c>
      <c r="D407">
        <v>2.3973275811684229</v>
      </c>
      <c r="E407">
        <v>9423.9656259589265</v>
      </c>
      <c r="F407">
        <v>9.1999999999999993</v>
      </c>
      <c r="G407">
        <v>0</v>
      </c>
      <c r="H407">
        <v>51.322690992018252</v>
      </c>
      <c r="I407">
        <v>38.665906499429873</v>
      </c>
      <c r="J407">
        <v>44.1</v>
      </c>
      <c r="K407">
        <v>48.236477253424844</v>
      </c>
      <c r="L407">
        <v>34.299999999999997</v>
      </c>
      <c r="M407" s="2">
        <v>8.3699999999999992</v>
      </c>
      <c r="N407">
        <v>7.1760000000000002</v>
      </c>
      <c r="O407" s="4">
        <v>611.72064</v>
      </c>
      <c r="P407">
        <v>23.208094588428299</v>
      </c>
    </row>
    <row r="408" spans="2:16" x14ac:dyDescent="0.3">
      <c r="B408" t="s">
        <v>18</v>
      </c>
      <c r="C408">
        <f t="shared" si="17"/>
        <v>2009</v>
      </c>
      <c r="D408">
        <v>2.3662793560660416</v>
      </c>
      <c r="E408">
        <v>9881.3957312708062</v>
      </c>
      <c r="F408">
        <v>10.56</v>
      </c>
      <c r="G408">
        <v>0</v>
      </c>
      <c r="H408">
        <v>58.382369908849661</v>
      </c>
      <c r="I408">
        <v>31.60263066805123</v>
      </c>
      <c r="J408">
        <v>44.6</v>
      </c>
      <c r="K408">
        <v>37.641799845540405</v>
      </c>
      <c r="L408">
        <v>34.6</v>
      </c>
      <c r="M408" s="2">
        <v>8.3699999999999992</v>
      </c>
      <c r="N408">
        <v>4.2430000000000003</v>
      </c>
      <c r="O408" s="4">
        <v>387.89992999999998</v>
      </c>
      <c r="P408">
        <v>19.624774517740576</v>
      </c>
    </row>
    <row r="409" spans="2:16" x14ac:dyDescent="0.3">
      <c r="B409" t="s">
        <v>18</v>
      </c>
      <c r="C409">
        <f t="shared" si="17"/>
        <v>2010</v>
      </c>
      <c r="D409">
        <v>1.9459829204057155</v>
      </c>
      <c r="E409">
        <v>12641.057684900788</v>
      </c>
      <c r="F409">
        <v>17.899999999999999</v>
      </c>
      <c r="G409">
        <v>0</v>
      </c>
      <c r="H409">
        <v>78.284756495018158</v>
      </c>
      <c r="I409">
        <v>10.066114163329919</v>
      </c>
      <c r="J409">
        <v>53.3</v>
      </c>
      <c r="K409">
        <v>36.58132983042249</v>
      </c>
      <c r="L409">
        <v>33.6</v>
      </c>
      <c r="M409" s="2">
        <v>8.33</v>
      </c>
      <c r="N409">
        <v>7.8029999999999999</v>
      </c>
      <c r="O409" s="4">
        <v>500.01101999999997</v>
      </c>
      <c r="P409">
        <v>19.407605475996835</v>
      </c>
    </row>
    <row r="410" spans="2:16" x14ac:dyDescent="0.3">
      <c r="B410" t="s">
        <v>18</v>
      </c>
      <c r="C410">
        <f t="shared" si="17"/>
        <v>2011</v>
      </c>
      <c r="D410">
        <v>2.3407603345532149</v>
      </c>
      <c r="E410">
        <v>15132.267572558721</v>
      </c>
      <c r="F410">
        <v>12.83</v>
      </c>
      <c r="G410">
        <v>0</v>
      </c>
      <c r="H410">
        <v>62.635344160866204</v>
      </c>
      <c r="I410">
        <v>24.477958236658935</v>
      </c>
      <c r="J410">
        <v>49.7</v>
      </c>
      <c r="K410">
        <v>37.022465662777805</v>
      </c>
      <c r="L410">
        <v>31.6</v>
      </c>
      <c r="M410" s="2">
        <v>8.4</v>
      </c>
      <c r="N410">
        <v>5.1619999999999999</v>
      </c>
      <c r="O410" s="4">
        <v>699.77544999999998</v>
      </c>
      <c r="P410">
        <v>20.882311012510936</v>
      </c>
    </row>
    <row r="411" spans="2:16" x14ac:dyDescent="0.3">
      <c r="B411" t="s">
        <v>18</v>
      </c>
      <c r="C411">
        <f t="shared" si="17"/>
        <v>2012</v>
      </c>
      <c r="D411">
        <v>2.6627982662354546</v>
      </c>
      <c r="E411">
        <v>16259.594081425614</v>
      </c>
      <c r="F411">
        <v>10.130000000000001</v>
      </c>
      <c r="G411">
        <v>0</v>
      </c>
      <c r="H411">
        <v>51.151160596338926</v>
      </c>
      <c r="I411">
        <v>35.261370069824494</v>
      </c>
      <c r="J411">
        <v>47.9</v>
      </c>
      <c r="K411">
        <v>37.544069918264121</v>
      </c>
      <c r="L411">
        <v>29.2</v>
      </c>
      <c r="M411" s="2">
        <v>8.48</v>
      </c>
      <c r="N411">
        <v>3.5379999999999998</v>
      </c>
      <c r="O411" s="4">
        <v>702.38007000000005</v>
      </c>
      <c r="P411">
        <v>22.915379729543659</v>
      </c>
    </row>
    <row r="412" spans="2:16" x14ac:dyDescent="0.3">
      <c r="B412" t="s">
        <v>18</v>
      </c>
      <c r="C412">
        <f t="shared" si="17"/>
        <v>2013</v>
      </c>
      <c r="D412">
        <v>2.2894255496531439</v>
      </c>
      <c r="E412">
        <v>18335.259477232237</v>
      </c>
      <c r="F412">
        <v>15.57</v>
      </c>
      <c r="G412">
        <v>0</v>
      </c>
      <c r="H412">
        <v>70.377358490566039</v>
      </c>
      <c r="I412">
        <v>15.857632933104632</v>
      </c>
      <c r="J412">
        <v>51.9</v>
      </c>
      <c r="K412">
        <v>33.762313156443355</v>
      </c>
      <c r="L412">
        <v>30.1</v>
      </c>
      <c r="M412" s="2">
        <v>8.52</v>
      </c>
      <c r="N412">
        <v>4.6379999999999999</v>
      </c>
      <c r="O412" s="4">
        <v>683.44029999999998</v>
      </c>
      <c r="P412">
        <v>22.484412011964423</v>
      </c>
    </row>
    <row r="413" spans="2:16" x14ac:dyDescent="0.3">
      <c r="B413" t="s">
        <v>18</v>
      </c>
      <c r="C413">
        <f t="shared" si="17"/>
        <v>2014</v>
      </c>
      <c r="D413">
        <v>2.0061769776190332</v>
      </c>
      <c r="E413">
        <v>18322.427676715724</v>
      </c>
      <c r="F413">
        <v>19.04</v>
      </c>
      <c r="G413">
        <v>0</v>
      </c>
      <c r="H413">
        <v>74.268780788177338</v>
      </c>
      <c r="I413">
        <v>5.2416871921182269</v>
      </c>
      <c r="J413">
        <v>56.7</v>
      </c>
      <c r="K413">
        <v>33.525655840661358</v>
      </c>
      <c r="L413">
        <v>29.8</v>
      </c>
      <c r="M413" s="2">
        <v>8.61</v>
      </c>
      <c r="N413">
        <v>3.2389999999999999</v>
      </c>
      <c r="O413" s="4">
        <v>622.35059999999999</v>
      </c>
      <c r="P413">
        <v>21.202812239529713</v>
      </c>
    </row>
    <row r="414" spans="2:16" x14ac:dyDescent="0.3">
      <c r="B414" t="s">
        <v>18</v>
      </c>
      <c r="C414">
        <f t="shared" si="17"/>
        <v>2015</v>
      </c>
      <c r="D414">
        <v>2.0472283839422425</v>
      </c>
      <c r="E414">
        <v>17125.901680029787</v>
      </c>
      <c r="F414">
        <v>17.77</v>
      </c>
      <c r="G414">
        <v>0</v>
      </c>
      <c r="H414">
        <v>60.208318158642292</v>
      </c>
      <c r="I414">
        <v>6.8468205987326103</v>
      </c>
      <c r="J414">
        <v>59.4</v>
      </c>
      <c r="K414">
        <v>29.779650352190096</v>
      </c>
      <c r="L414">
        <v>29.8</v>
      </c>
      <c r="M414" s="2">
        <v>8.67</v>
      </c>
      <c r="N414">
        <v>0.371</v>
      </c>
      <c r="O414" s="4">
        <v>329.50225999999998</v>
      </c>
      <c r="P414">
        <v>19.705390395894096</v>
      </c>
    </row>
    <row r="415" spans="2:16" x14ac:dyDescent="0.3">
      <c r="B415" t="s">
        <v>18</v>
      </c>
      <c r="C415">
        <f t="shared" si="17"/>
        <v>2016</v>
      </c>
      <c r="D415">
        <v>2.0209020670952982</v>
      </c>
      <c r="E415">
        <v>17009.75842072758</v>
      </c>
      <c r="F415">
        <v>18.02</v>
      </c>
      <c r="G415">
        <v>0</v>
      </c>
      <c r="H415">
        <v>56.490419247946974</v>
      </c>
      <c r="I415">
        <v>3.1695721077654517</v>
      </c>
      <c r="J415">
        <v>60.3</v>
      </c>
      <c r="K415">
        <v>26.408824007798039</v>
      </c>
      <c r="L415">
        <v>29.6</v>
      </c>
      <c r="M415" s="2">
        <v>8.6999999999999993</v>
      </c>
      <c r="N415">
        <v>1.69</v>
      </c>
      <c r="O415" s="4">
        <v>275.07916</v>
      </c>
      <c r="P415">
        <v>17.389157731417662</v>
      </c>
    </row>
    <row r="416" spans="2:16" x14ac:dyDescent="0.3">
      <c r="B416" t="s">
        <v>18</v>
      </c>
      <c r="C416">
        <f t="shared" si="17"/>
        <v>2017</v>
      </c>
      <c r="D416">
        <v>1.890930275247769</v>
      </c>
      <c r="E416">
        <v>19184.650261708244</v>
      </c>
      <c r="F416">
        <v>19.39</v>
      </c>
      <c r="G416">
        <v>0</v>
      </c>
      <c r="H416">
        <v>52.343151591114825</v>
      </c>
      <c r="I416">
        <v>1.3021377341410765</v>
      </c>
      <c r="J416">
        <v>60.8</v>
      </c>
      <c r="K416">
        <v>25.145371984262972</v>
      </c>
      <c r="L416">
        <v>29.6</v>
      </c>
      <c r="M416" s="2">
        <v>8.83</v>
      </c>
      <c r="N416">
        <v>1.7410000000000001</v>
      </c>
      <c r="O416" s="4">
        <v>340.85962000000001</v>
      </c>
      <c r="P416">
        <v>15.924035666887324</v>
      </c>
    </row>
    <row r="417" spans="2:16" x14ac:dyDescent="0.3">
      <c r="B417" t="s">
        <v>18</v>
      </c>
      <c r="C417">
        <f t="shared" si="17"/>
        <v>2018</v>
      </c>
      <c r="D417">
        <v>2.024136449951599</v>
      </c>
      <c r="E417">
        <v>19249.940467750072</v>
      </c>
      <c r="F417">
        <v>18.989999999999998</v>
      </c>
      <c r="G417">
        <v>0</v>
      </c>
      <c r="H417">
        <v>44.836547667897683</v>
      </c>
      <c r="I417">
        <v>2.3799753795650389</v>
      </c>
      <c r="J417">
        <v>60.8</v>
      </c>
      <c r="K417">
        <v>25.083948275788217</v>
      </c>
      <c r="L417">
        <v>29.7</v>
      </c>
      <c r="M417" s="2">
        <v>8.91</v>
      </c>
      <c r="N417">
        <v>0.16500000000000001</v>
      </c>
      <c r="O417" s="4">
        <v>448.52600000000001</v>
      </c>
      <c r="P417">
        <v>14.853498654449879</v>
      </c>
    </row>
    <row r="418" spans="2:16" x14ac:dyDescent="0.3">
      <c r="B418" t="s">
        <v>18</v>
      </c>
      <c r="C418">
        <f t="shared" si="17"/>
        <v>2019</v>
      </c>
      <c r="D418">
        <v>2.1064663137884483</v>
      </c>
      <c r="E418">
        <v>18315.731698002815</v>
      </c>
      <c r="F418">
        <v>21.82</v>
      </c>
      <c r="G418">
        <v>0</v>
      </c>
      <c r="H418">
        <v>50.353993292758659</v>
      </c>
      <c r="I418">
        <v>1.0185070177617688</v>
      </c>
      <c r="J418">
        <v>59.3</v>
      </c>
      <c r="K418">
        <v>25.595319546550055</v>
      </c>
      <c r="L418">
        <v>29.7</v>
      </c>
      <c r="M418" s="2">
        <v>8.98</v>
      </c>
      <c r="N418">
        <v>0.92800000000000005</v>
      </c>
      <c r="O418" s="4">
        <v>403.87164000000001</v>
      </c>
      <c r="P418">
        <v>14.12085039187736</v>
      </c>
    </row>
    <row r="419" spans="2:16" x14ac:dyDescent="0.3">
      <c r="B419" t="s">
        <v>18</v>
      </c>
      <c r="C419">
        <f t="shared" si="17"/>
        <v>2020</v>
      </c>
      <c r="D419">
        <v>2.0339997316832639</v>
      </c>
      <c r="E419">
        <v>15757.53559957787</v>
      </c>
      <c r="F419">
        <v>16.57</v>
      </c>
      <c r="G419">
        <v>0</v>
      </c>
      <c r="H419">
        <v>30.117733627667402</v>
      </c>
      <c r="I419">
        <v>5.9602649006622519</v>
      </c>
      <c r="J419">
        <v>61.2</v>
      </c>
      <c r="K419">
        <v>26.938335706124551</v>
      </c>
      <c r="L419">
        <v>29.9</v>
      </c>
      <c r="M419" s="2">
        <v>9.5</v>
      </c>
      <c r="N419">
        <v>-7.3570000000000002</v>
      </c>
      <c r="O419" s="4">
        <v>263.15481999999997</v>
      </c>
      <c r="P419">
        <v>16.233676487253383</v>
      </c>
    </row>
    <row r="420" spans="2:16" x14ac:dyDescent="0.3">
      <c r="B420" t="s">
        <v>18</v>
      </c>
      <c r="C420">
        <f t="shared" si="17"/>
        <v>2021</v>
      </c>
      <c r="D420">
        <v>2.5176826297327253</v>
      </c>
      <c r="E420">
        <v>17881.818721098989</v>
      </c>
      <c r="F420">
        <v>16.54</v>
      </c>
      <c r="G420">
        <v>0</v>
      </c>
      <c r="H420">
        <v>32.960300093779303</v>
      </c>
      <c r="I420">
        <v>15.304782744607689</v>
      </c>
      <c r="J420">
        <v>57.8</v>
      </c>
      <c r="K420">
        <v>32.689001238912631</v>
      </c>
      <c r="L420">
        <v>30.8</v>
      </c>
      <c r="M420" s="2">
        <v>10.019999500000001</v>
      </c>
      <c r="N420">
        <v>5.8440000000000003</v>
      </c>
      <c r="O420" s="4">
        <v>446.02163999999999</v>
      </c>
      <c r="P420">
        <v>18.196763139939481</v>
      </c>
    </row>
    <row r="421" spans="2:16" x14ac:dyDescent="0.3">
      <c r="O421" s="4"/>
    </row>
    <row r="422" spans="2:16" x14ac:dyDescent="0.3">
      <c r="O422" s="4"/>
    </row>
    <row r="423" spans="2:16" x14ac:dyDescent="0.3">
      <c r="O423" s="4"/>
    </row>
    <row r="424" spans="2:16" x14ac:dyDescent="0.3">
      <c r="O424" s="4"/>
    </row>
    <row r="425" spans="2:16" x14ac:dyDescent="0.3">
      <c r="O425" s="4"/>
    </row>
    <row r="426" spans="2:16" x14ac:dyDescent="0.3">
      <c r="O426" s="4"/>
    </row>
    <row r="427" spans="2:16" x14ac:dyDescent="0.3">
      <c r="O427" s="4"/>
    </row>
    <row r="428" spans="2:16" x14ac:dyDescent="0.3">
      <c r="O428" s="4"/>
    </row>
    <row r="429" spans="2:16" x14ac:dyDescent="0.3">
      <c r="O429" s="4"/>
    </row>
    <row r="430" spans="2:16" x14ac:dyDescent="0.3">
      <c r="O430" s="4"/>
    </row>
    <row r="431" spans="2:16" x14ac:dyDescent="0.3">
      <c r="O431" s="4"/>
    </row>
    <row r="432" spans="2:16" x14ac:dyDescent="0.3">
      <c r="O432" s="4"/>
    </row>
    <row r="433" spans="15:15" x14ac:dyDescent="0.3">
      <c r="O433" s="4"/>
    </row>
    <row r="434" spans="15:15" x14ac:dyDescent="0.3">
      <c r="O434" s="4"/>
    </row>
    <row r="435" spans="15:15" x14ac:dyDescent="0.3">
      <c r="O435" s="4"/>
    </row>
    <row r="436" spans="15:15" x14ac:dyDescent="0.3">
      <c r="O436" s="4"/>
    </row>
    <row r="437" spans="15:15" x14ac:dyDescent="0.3">
      <c r="O437" s="4"/>
    </row>
    <row r="438" spans="15:15" x14ac:dyDescent="0.3">
      <c r="O438" s="4"/>
    </row>
    <row r="439" spans="15:15" x14ac:dyDescent="0.3">
      <c r="O439" s="4"/>
    </row>
    <row r="440" spans="15:15" x14ac:dyDescent="0.3">
      <c r="O440" s="4"/>
    </row>
    <row r="441" spans="15:15" x14ac:dyDescent="0.3">
      <c r="O441" s="4"/>
    </row>
    <row r="442" spans="15:15" x14ac:dyDescent="0.3">
      <c r="O4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Ferraro</dc:creator>
  <cp:lastModifiedBy>Eleonora Ferraro</cp:lastModifiedBy>
  <dcterms:created xsi:type="dcterms:W3CDTF">2026-04-04T12:09:19Z</dcterms:created>
  <dcterms:modified xsi:type="dcterms:W3CDTF">2026-04-23T15:21:35Z</dcterms:modified>
</cp:coreProperties>
</file>